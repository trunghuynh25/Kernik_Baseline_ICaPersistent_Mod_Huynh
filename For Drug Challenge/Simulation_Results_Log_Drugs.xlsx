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tools-my.sharepoint.com/personal/huynh_trung_mayo_edu/Documents/Other projects/Multichannel KCNH2/Kernik_Baseline_ICaPersistent_Mod_Huynh/For Drug Challenge/"/>
    </mc:Choice>
  </mc:AlternateContent>
  <xr:revisionPtr revIDLastSave="315" documentId="11_324AE617CF19DFAF25218724F0012D1601026065" xr6:coauthVersionLast="47" xr6:coauthVersionMax="47" xr10:uidLastSave="{250C7852-0C00-42AB-A681-E7760B47701E}"/>
  <bookViews>
    <workbookView xWindow="-108" yWindow="-108" windowWidth="23256" windowHeight="13896" xr2:uid="{00000000-000D-0000-FFFF-FFFF00000000}"/>
  </bookViews>
  <sheets>
    <sheet name="Nifedipine" sheetId="1" r:id="rId1"/>
    <sheet name="Mexiletine" sheetId="3" r:id="rId2"/>
    <sheet name="Legend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3" l="1"/>
  <c r="O34" i="3"/>
  <c r="N34" i="3"/>
  <c r="M34" i="3"/>
  <c r="L34" i="3"/>
  <c r="I34" i="3"/>
  <c r="H34" i="3"/>
  <c r="G34" i="3"/>
  <c r="F34" i="3"/>
  <c r="E34" i="3"/>
  <c r="D34" i="3"/>
  <c r="P33" i="3"/>
  <c r="O33" i="3"/>
  <c r="N33" i="3"/>
  <c r="M33" i="3"/>
  <c r="L33" i="3"/>
  <c r="I33" i="3"/>
  <c r="H33" i="3"/>
  <c r="G33" i="3"/>
  <c r="F33" i="3"/>
  <c r="E33" i="3"/>
  <c r="D33" i="3"/>
  <c r="P32" i="3"/>
  <c r="O32" i="3"/>
  <c r="N32" i="3"/>
  <c r="M32" i="3"/>
  <c r="L32" i="3"/>
  <c r="I32" i="3"/>
  <c r="H32" i="3"/>
  <c r="G32" i="3"/>
  <c r="F32" i="3"/>
  <c r="E32" i="3"/>
  <c r="D32" i="3"/>
  <c r="P31" i="3"/>
  <c r="O31" i="3"/>
  <c r="N31" i="3"/>
  <c r="M31" i="3"/>
  <c r="L31" i="3"/>
  <c r="I31" i="3"/>
  <c r="H31" i="3"/>
  <c r="G31" i="3"/>
  <c r="F31" i="3"/>
  <c r="E31" i="3"/>
  <c r="D31" i="3"/>
  <c r="P30" i="3"/>
  <c r="O30" i="3"/>
  <c r="N30" i="3"/>
  <c r="M30" i="3"/>
  <c r="L30" i="3"/>
  <c r="I30" i="3"/>
  <c r="H30" i="3"/>
  <c r="G30" i="3"/>
  <c r="F30" i="3"/>
  <c r="E30" i="3"/>
  <c r="D30" i="3"/>
  <c r="P25" i="3"/>
  <c r="O25" i="3"/>
  <c r="N25" i="3"/>
  <c r="M25" i="3"/>
  <c r="L25" i="3"/>
  <c r="I25" i="3"/>
  <c r="H25" i="3"/>
  <c r="G25" i="3"/>
  <c r="F25" i="3"/>
  <c r="E25" i="3"/>
  <c r="D25" i="3"/>
  <c r="P24" i="3"/>
  <c r="O24" i="3"/>
  <c r="N24" i="3"/>
  <c r="M24" i="3"/>
  <c r="L24" i="3"/>
  <c r="I24" i="3"/>
  <c r="H24" i="3"/>
  <c r="G24" i="3"/>
  <c r="F24" i="3"/>
  <c r="E24" i="3"/>
  <c r="D24" i="3"/>
  <c r="P23" i="3"/>
  <c r="O23" i="3"/>
  <c r="N23" i="3"/>
  <c r="M23" i="3"/>
  <c r="L23" i="3"/>
  <c r="I23" i="3"/>
  <c r="H23" i="3"/>
  <c r="G23" i="3"/>
  <c r="F23" i="3"/>
  <c r="E23" i="3"/>
  <c r="D23" i="3"/>
  <c r="P22" i="3"/>
  <c r="O22" i="3"/>
  <c r="N22" i="3"/>
  <c r="M22" i="3"/>
  <c r="L22" i="3"/>
  <c r="I22" i="3"/>
  <c r="H22" i="3"/>
  <c r="G22" i="3"/>
  <c r="F22" i="3"/>
  <c r="E22" i="3"/>
  <c r="D22" i="3"/>
  <c r="P21" i="3"/>
  <c r="O21" i="3"/>
  <c r="N21" i="3"/>
  <c r="M21" i="3"/>
  <c r="L21" i="3"/>
  <c r="I21" i="3"/>
  <c r="H21" i="3"/>
  <c r="G21" i="3"/>
  <c r="F21" i="3"/>
  <c r="E21" i="3"/>
  <c r="D21" i="3"/>
  <c r="P34" i="1"/>
  <c r="O34" i="1"/>
  <c r="N34" i="1"/>
  <c r="M34" i="1"/>
  <c r="P33" i="1"/>
  <c r="O33" i="1"/>
  <c r="N33" i="1"/>
  <c r="M33" i="1"/>
  <c r="P32" i="1"/>
  <c r="O32" i="1"/>
  <c r="N32" i="1"/>
  <c r="M32" i="1"/>
  <c r="P31" i="1"/>
  <c r="O31" i="1"/>
  <c r="N31" i="1"/>
  <c r="M31" i="1"/>
  <c r="P30" i="1"/>
  <c r="O30" i="1"/>
  <c r="N30" i="1"/>
  <c r="M30" i="1"/>
  <c r="L30" i="1"/>
  <c r="L34" i="1"/>
  <c r="L33" i="1"/>
  <c r="L32" i="1"/>
  <c r="L31" i="1"/>
  <c r="D30" i="1"/>
  <c r="D22" i="1"/>
  <c r="D21" i="1"/>
  <c r="P25" i="1"/>
  <c r="O25" i="1"/>
  <c r="N25" i="1"/>
  <c r="M25" i="1"/>
  <c r="P24" i="1"/>
  <c r="O24" i="1"/>
  <c r="N24" i="1"/>
  <c r="M24" i="1"/>
  <c r="P23" i="1"/>
  <c r="O23" i="1"/>
  <c r="N23" i="1"/>
  <c r="M23" i="1"/>
  <c r="P22" i="1"/>
  <c r="O22" i="1"/>
  <c r="N22" i="1"/>
  <c r="M22" i="1"/>
  <c r="P21" i="1"/>
  <c r="O21" i="1"/>
  <c r="N21" i="1"/>
  <c r="M21" i="1"/>
  <c r="L21" i="1"/>
  <c r="L22" i="1"/>
  <c r="L23" i="1"/>
  <c r="L24" i="1"/>
  <c r="L25" i="1"/>
  <c r="E30" i="1"/>
  <c r="F30" i="1"/>
  <c r="G30" i="1"/>
  <c r="H30" i="1"/>
  <c r="I30" i="1"/>
  <c r="E31" i="1"/>
  <c r="F31" i="1"/>
  <c r="G31" i="1"/>
  <c r="H31" i="1"/>
  <c r="I31" i="1"/>
  <c r="E32" i="1"/>
  <c r="F32" i="1"/>
  <c r="G32" i="1"/>
  <c r="H32" i="1"/>
  <c r="I32" i="1"/>
  <c r="E33" i="1"/>
  <c r="F33" i="1"/>
  <c r="G33" i="1"/>
  <c r="H33" i="1"/>
  <c r="I33" i="1"/>
  <c r="E34" i="1"/>
  <c r="F34" i="1"/>
  <c r="G34" i="1"/>
  <c r="H34" i="1"/>
  <c r="I34" i="1"/>
  <c r="D31" i="1"/>
  <c r="D32" i="1"/>
  <c r="D33" i="1"/>
  <c r="D34" i="1"/>
  <c r="I25" i="1"/>
  <c r="E21" i="1"/>
  <c r="F21" i="1"/>
  <c r="G21" i="1"/>
  <c r="H21" i="1"/>
  <c r="I21" i="1"/>
  <c r="E22" i="1"/>
  <c r="F22" i="1"/>
  <c r="G22" i="1"/>
  <c r="H22" i="1"/>
  <c r="I22" i="1"/>
  <c r="E23" i="1"/>
  <c r="F23" i="1"/>
  <c r="G23" i="1"/>
  <c r="H23" i="1"/>
  <c r="I23" i="1"/>
  <c r="E24" i="1"/>
  <c r="F24" i="1"/>
  <c r="G24" i="1"/>
  <c r="H24" i="1"/>
  <c r="I24" i="1"/>
  <c r="E25" i="1"/>
  <c r="F25" i="1"/>
  <c r="G25" i="1"/>
  <c r="H25" i="1"/>
  <c r="D25" i="1"/>
  <c r="D24" i="1"/>
  <c r="D23" i="1"/>
</calcChain>
</file>

<file path=xl/sharedStrings.xml><?xml version="1.0" encoding="utf-8"?>
<sst xmlns="http://schemas.openxmlformats.org/spreadsheetml/2006/main" count="127" uniqueCount="40">
  <si>
    <t>Model</t>
  </si>
  <si>
    <t>Drug</t>
  </si>
  <si>
    <t>Dose</t>
  </si>
  <si>
    <t>diastolic_ca_nM</t>
  </si>
  <si>
    <t>peak_ca_nM</t>
  </si>
  <si>
    <t>ttp_ms</t>
  </si>
  <si>
    <t>pct_serca</t>
  </si>
  <si>
    <t>pct_ncx</t>
  </si>
  <si>
    <t>pct_ipca</t>
  </si>
  <si>
    <t>tau_fast_ms</t>
  </si>
  <si>
    <t>tau_slow_ms</t>
  </si>
  <si>
    <t>amp_fast</t>
  </si>
  <si>
    <t>amp_slow</t>
  </si>
  <si>
    <t>tau_decay_r_squared</t>
  </si>
  <si>
    <t>RMP</t>
  </si>
  <si>
    <t>APA</t>
  </si>
  <si>
    <t>V_max</t>
  </si>
  <si>
    <t>dVdt_max_V_s</t>
  </si>
  <si>
    <t>APD30</t>
  </si>
  <si>
    <t>APD50</t>
  </si>
  <si>
    <t>APD90</t>
  </si>
  <si>
    <t>0 = none</t>
  </si>
  <si>
    <t>uM for Mexiletine</t>
  </si>
  <si>
    <t>nM for Nifedipine</t>
  </si>
  <si>
    <t>0 = baseline</t>
  </si>
  <si>
    <t>1 = IKr defect only</t>
  </si>
  <si>
    <t>2 = IKr + INa,L</t>
  </si>
  <si>
    <t>3 = IKr + ICa,L</t>
  </si>
  <si>
    <t>4 = All Three Defects</t>
  </si>
  <si>
    <t>MODEL</t>
  </si>
  <si>
    <t>1 = mexilitine (both parameters)</t>
  </si>
  <si>
    <t>2 = nifedipine (peak_ICaL only)</t>
  </si>
  <si>
    <t>% Change after Nifedipine 30 nM</t>
  </si>
  <si>
    <t>% Change after Nifedipine 100 nM</t>
  </si>
  <si>
    <t>% APD Change after Nifedipine 100 nM</t>
  </si>
  <si>
    <t>% APD Change after Nifedipine 30 nM</t>
  </si>
  <si>
    <t>% APD Change after Mexiletine 10uM</t>
  </si>
  <si>
    <t>% APD Change after Mexiletine 5uM</t>
  </si>
  <si>
    <t>% Change after Mexiletine 5uM</t>
  </si>
  <si>
    <t>% Change after Mexiletine 10uM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</si>
</sst>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2" fontId="0" fillId="2" borderId="0" xfId="0" applyNumberFormat="1" applyFill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12</xdr:row>
      <xdr:rowOff>133350</xdr:rowOff>
    </xdr:from>
    <xdr:to>
      <xdr:col>13</xdr:col>
      <xdr:colOff>182880</xdr:colOff>
      <xdr:row>17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9CDD17-2F27-743C-3F46-966925FB5B01}"/>
            </a:ext>
          </a:extLst>
        </xdr:cNvPr>
        <xdr:cNvSpPr txBox="1"/>
      </xdr:nvSpPr>
      <xdr:spPr>
        <a:xfrm>
          <a:off x="2941320" y="2327910"/>
          <a:ext cx="598932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Fold difference</a:t>
          </a:r>
          <a:r>
            <a:rPr lang="en-US" sz="1100" baseline="0"/>
            <a:t> is supporting stronger effect of nifedipine on APD shortening in Model 3 vs Model 2!</a:t>
          </a:r>
        </a:p>
        <a:p>
          <a:r>
            <a:rPr lang="en-US" sz="1100" baseline="0"/>
            <a:t>Again, our Positive Control is Model 4.</a:t>
          </a:r>
        </a:p>
        <a:p>
          <a:endParaRPr lang="en-US" sz="1100" baseline="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tabSelected="1" zoomScale="85" zoomScaleNormal="85" workbookViewId="0">
      <selection activeCell="T17" sqref="T17"/>
    </sheetView>
  </sheetViews>
  <sheetFormatPr defaultRowHeight="14.4" x14ac:dyDescent="0.3"/>
  <cols>
    <col min="1" max="1" width="6.21875" customWidth="1"/>
    <col min="2" max="2" width="4.77734375" customWidth="1"/>
    <col min="3" max="3" width="7.44140625" bestFit="1" customWidth="1"/>
    <col min="4" max="4" width="14.33203125" customWidth="1"/>
    <col min="5" max="10" width="11.5546875" customWidth="1"/>
    <col min="11" max="11" width="11.77734375" customWidth="1"/>
    <col min="12" max="12" width="12.5546875" customWidth="1"/>
    <col min="13" max="13" width="15.21875" customWidth="1"/>
    <col min="14" max="14" width="18.5546875" customWidth="1"/>
    <col min="15" max="15" width="12.21875" customWidth="1"/>
    <col min="16" max="17" width="11.5546875" customWidth="1"/>
    <col min="18" max="18" width="13.109375" customWidth="1"/>
    <col min="19" max="21" width="11.5546875" customWidth="1"/>
  </cols>
  <sheetData>
    <row r="1" spans="1:2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0</v>
      </c>
      <c r="B2">
        <v>0</v>
      </c>
      <c r="C2">
        <v>0</v>
      </c>
      <c r="D2">
        <v>52.647203219321334</v>
      </c>
      <c r="E2">
        <v>563.88635646623436</v>
      </c>
      <c r="F2">
        <v>209.23300594682314</v>
      </c>
      <c r="G2">
        <v>60.089552298883831</v>
      </c>
      <c r="H2">
        <v>32.483903662322454</v>
      </c>
      <c r="I2">
        <v>7.4265440387937129</v>
      </c>
      <c r="J2">
        <v>307.31009718223464</v>
      </c>
      <c r="K2">
        <v>308.59678650889032</v>
      </c>
      <c r="L2">
        <v>0.99608874618274512</v>
      </c>
      <c r="M2">
        <v>3.9112538172548783E-3</v>
      </c>
      <c r="N2">
        <v>0.85560361338842361</v>
      </c>
      <c r="O2">
        <v>-75.739175368098273</v>
      </c>
      <c r="P2">
        <v>113.63698925799801</v>
      </c>
      <c r="Q2">
        <v>37.89781388989973</v>
      </c>
      <c r="R2">
        <v>133.59563653841681</v>
      </c>
      <c r="S2">
        <v>336.6033201553164</v>
      </c>
      <c r="T2">
        <v>401.69698963922474</v>
      </c>
      <c r="U2">
        <v>443.68423908653949</v>
      </c>
    </row>
    <row r="3" spans="1:21" x14ac:dyDescent="0.3">
      <c r="A3">
        <v>1</v>
      </c>
      <c r="B3">
        <v>0</v>
      </c>
      <c r="C3">
        <v>0</v>
      </c>
      <c r="D3">
        <v>52.581164776532283</v>
      </c>
      <c r="E3">
        <v>559.48144019929077</v>
      </c>
      <c r="F3">
        <v>209.70491604269409</v>
      </c>
      <c r="G3">
        <v>64.085679483802778</v>
      </c>
      <c r="H3">
        <v>28.268705329502779</v>
      </c>
      <c r="I3">
        <v>7.6456151866944406</v>
      </c>
      <c r="J3">
        <v>392.58408596160939</v>
      </c>
      <c r="K3">
        <v>392.98633583137877</v>
      </c>
      <c r="L3">
        <v>0.9153429050237023</v>
      </c>
      <c r="M3">
        <v>8.4657094976297698E-2</v>
      </c>
      <c r="N3">
        <v>0.87079788270598191</v>
      </c>
      <c r="O3">
        <v>-75.726649147914586</v>
      </c>
      <c r="P3">
        <v>114.53846936096518</v>
      </c>
      <c r="Q3">
        <v>38.811820213050595</v>
      </c>
      <c r="R3">
        <v>130.76352983595285</v>
      </c>
      <c r="S3">
        <v>412.8965842673133</v>
      </c>
      <c r="T3">
        <v>527.73083118356044</v>
      </c>
      <c r="U3">
        <v>613.42266648597433</v>
      </c>
    </row>
    <row r="4" spans="1:21" x14ac:dyDescent="0.3">
      <c r="A4">
        <v>2</v>
      </c>
      <c r="B4">
        <v>0</v>
      </c>
      <c r="C4">
        <v>0</v>
      </c>
      <c r="D4">
        <v>52.702195375093879</v>
      </c>
      <c r="E4">
        <v>554.03835725829742</v>
      </c>
      <c r="F4">
        <v>212.36756691886421</v>
      </c>
      <c r="G4">
        <v>64.392444129838822</v>
      </c>
      <c r="H4">
        <v>27.959535141378939</v>
      </c>
      <c r="I4">
        <v>7.6480207287822397</v>
      </c>
      <c r="J4">
        <v>398.86410533113406</v>
      </c>
      <c r="K4">
        <v>398.88480988334481</v>
      </c>
      <c r="L4">
        <v>0.62466836632727429</v>
      </c>
      <c r="M4">
        <v>0.37533163367272565</v>
      </c>
      <c r="N4">
        <v>0.87379062754404324</v>
      </c>
      <c r="O4">
        <v>-75.726644551002423</v>
      </c>
      <c r="P4">
        <v>114.66968302263115</v>
      </c>
      <c r="Q4">
        <v>38.943038471628718</v>
      </c>
      <c r="R4">
        <v>137.22038620947441</v>
      </c>
      <c r="S4">
        <v>412.16783055091764</v>
      </c>
      <c r="T4">
        <v>530.36597176491159</v>
      </c>
      <c r="U4">
        <v>634.11491776751791</v>
      </c>
    </row>
    <row r="5" spans="1:21" x14ac:dyDescent="0.3">
      <c r="A5">
        <v>3</v>
      </c>
      <c r="B5">
        <v>0</v>
      </c>
      <c r="C5">
        <v>0</v>
      </c>
      <c r="D5">
        <v>52.726649421268313</v>
      </c>
      <c r="E5">
        <v>574.34968063622375</v>
      </c>
      <c r="F5">
        <v>227.08493485418239</v>
      </c>
      <c r="G5">
        <v>65.85090356444951</v>
      </c>
      <c r="H5">
        <v>26.548960787431238</v>
      </c>
      <c r="I5">
        <v>7.600135648119255</v>
      </c>
      <c r="J5">
        <v>529.76725375843057</v>
      </c>
      <c r="K5">
        <v>530.05627468733223</v>
      </c>
      <c r="L5">
        <v>0.27094941309561582</v>
      </c>
      <c r="M5">
        <v>0.72905058690438418</v>
      </c>
      <c r="N5">
        <v>0.88472732069837134</v>
      </c>
      <c r="O5">
        <v>-75.726649148047002</v>
      </c>
      <c r="P5">
        <v>114.54543085703676</v>
      </c>
      <c r="Q5">
        <v>38.818781708989754</v>
      </c>
      <c r="R5">
        <v>124.02373160129694</v>
      </c>
      <c r="S5">
        <v>465.89361107600052</v>
      </c>
      <c r="T5">
        <v>651.10009596545024</v>
      </c>
      <c r="U5">
        <v>751.62700391448379</v>
      </c>
    </row>
    <row r="6" spans="1:21" x14ac:dyDescent="0.3">
      <c r="A6">
        <v>4</v>
      </c>
      <c r="B6">
        <v>0</v>
      </c>
      <c r="C6">
        <v>0</v>
      </c>
      <c r="D6">
        <v>53.014565994805096</v>
      </c>
      <c r="E6">
        <v>573.29913437847358</v>
      </c>
      <c r="F6">
        <v>232.5095571445645</v>
      </c>
      <c r="G6">
        <v>66.317977703133252</v>
      </c>
      <c r="H6">
        <v>26.078559904802955</v>
      </c>
      <c r="I6">
        <v>7.6034623920638005</v>
      </c>
      <c r="J6">
        <v>548.16189432215219</v>
      </c>
      <c r="K6">
        <v>548.16200797433112</v>
      </c>
      <c r="L6">
        <v>0.40689442001139575</v>
      </c>
      <c r="M6">
        <v>0.59310557998860425</v>
      </c>
      <c r="N6">
        <v>0.89456182863874334</v>
      </c>
      <c r="O6">
        <v>-75.72664455113474</v>
      </c>
      <c r="P6">
        <v>114.59136515451297</v>
      </c>
      <c r="Q6">
        <v>38.864720603378224</v>
      </c>
      <c r="R6">
        <v>129.9198882103928</v>
      </c>
      <c r="S6">
        <v>465.76691524278385</v>
      </c>
      <c r="T6">
        <v>659.66467305057131</v>
      </c>
      <c r="U6">
        <v>787.52151254635464</v>
      </c>
    </row>
    <row r="7" spans="1:21" x14ac:dyDescent="0.3">
      <c r="A7">
        <v>0</v>
      </c>
      <c r="B7">
        <v>2</v>
      </c>
      <c r="C7">
        <v>30</v>
      </c>
      <c r="D7">
        <v>46.419035715379565</v>
      </c>
      <c r="E7">
        <v>346.83976217518517</v>
      </c>
      <c r="F7">
        <v>147.19579236482787</v>
      </c>
      <c r="G7">
        <v>57.681981091124094</v>
      </c>
      <c r="H7">
        <v>34.540727697046478</v>
      </c>
      <c r="I7">
        <v>7.7772912118294277</v>
      </c>
      <c r="J7">
        <v>284.20632600569684</v>
      </c>
      <c r="K7">
        <v>285.22265657592254</v>
      </c>
      <c r="L7">
        <v>0.99998528104114859</v>
      </c>
      <c r="M7">
        <v>1.4718958851411834E-5</v>
      </c>
      <c r="N7">
        <v>0.92301159185842552</v>
      </c>
      <c r="O7">
        <v>-75.740466873895215</v>
      </c>
      <c r="P7">
        <v>107.7692226628939</v>
      </c>
      <c r="Q7">
        <v>32.028755788998687</v>
      </c>
      <c r="R7">
        <v>120.78027476820968</v>
      </c>
      <c r="S7">
        <v>256.72936600279081</v>
      </c>
      <c r="T7">
        <v>304.57049546339158</v>
      </c>
      <c r="U7">
        <v>339.4812196848502</v>
      </c>
    </row>
    <row r="8" spans="1:21" x14ac:dyDescent="0.3">
      <c r="A8">
        <v>1</v>
      </c>
      <c r="B8">
        <v>2</v>
      </c>
      <c r="C8">
        <v>30</v>
      </c>
      <c r="D8">
        <v>46.137629665039611</v>
      </c>
      <c r="E8">
        <v>338.84954707303655</v>
      </c>
      <c r="F8">
        <v>139.06521221675212</v>
      </c>
      <c r="G8">
        <v>68.561064238891959</v>
      </c>
      <c r="H8">
        <v>23.870326590008915</v>
      </c>
      <c r="I8">
        <v>7.5686091710991192</v>
      </c>
      <c r="J8">
        <v>357.26239337467445</v>
      </c>
      <c r="K8">
        <v>357.2872255327494</v>
      </c>
      <c r="L8">
        <v>0.86432580055544239</v>
      </c>
      <c r="M8">
        <v>0.13567419944455758</v>
      </c>
      <c r="N8">
        <v>0.88546953302583964</v>
      </c>
      <c r="O8">
        <v>-75.727921821890021</v>
      </c>
      <c r="P8">
        <v>108.64315631502323</v>
      </c>
      <c r="Q8">
        <v>32.915234493133212</v>
      </c>
      <c r="R8">
        <v>114.38283857528208</v>
      </c>
      <c r="S8">
        <v>324.58860363063104</v>
      </c>
      <c r="T8">
        <v>402.78680511145376</v>
      </c>
      <c r="U8">
        <v>468.3852092398738</v>
      </c>
    </row>
    <row r="9" spans="1:21" x14ac:dyDescent="0.3">
      <c r="A9">
        <v>2</v>
      </c>
      <c r="B9">
        <v>2</v>
      </c>
      <c r="C9">
        <v>30</v>
      </c>
      <c r="D9">
        <v>46.700172979200161</v>
      </c>
      <c r="E9">
        <v>337.22330257580296</v>
      </c>
      <c r="F9">
        <v>146.29948953537314</v>
      </c>
      <c r="G9">
        <v>60.575292808253977</v>
      </c>
      <c r="H9">
        <v>31.400674019150742</v>
      </c>
      <c r="I9">
        <v>8.0240331725952814</v>
      </c>
      <c r="J9">
        <v>340.60398531093784</v>
      </c>
      <c r="K9">
        <v>341.29353249425651</v>
      </c>
      <c r="L9">
        <v>0.98195384158685073</v>
      </c>
      <c r="M9">
        <v>1.8046158413149271E-2</v>
      </c>
      <c r="N9">
        <v>0.92451343999983182</v>
      </c>
      <c r="O9">
        <v>-75.727917205872672</v>
      </c>
      <c r="P9">
        <v>109.33526798275281</v>
      </c>
      <c r="Q9">
        <v>33.607350776880132</v>
      </c>
      <c r="R9">
        <v>129.21675956330424</v>
      </c>
      <c r="S9">
        <v>322.6061036892138</v>
      </c>
      <c r="T9">
        <v>404.3541703360479</v>
      </c>
      <c r="U9">
        <v>480.95236939997585</v>
      </c>
    </row>
    <row r="10" spans="1:21" x14ac:dyDescent="0.3">
      <c r="A10">
        <v>3</v>
      </c>
      <c r="B10">
        <v>2</v>
      </c>
      <c r="C10">
        <v>30</v>
      </c>
      <c r="D10">
        <v>46.181483735872838</v>
      </c>
      <c r="E10">
        <v>339.86264698740229</v>
      </c>
      <c r="F10">
        <v>139.75126158781859</v>
      </c>
      <c r="G10">
        <v>68.738463822673452</v>
      </c>
      <c r="H10">
        <v>23.706044901781436</v>
      </c>
      <c r="I10">
        <v>7.5554912755451076</v>
      </c>
      <c r="J10">
        <v>368.9529383899644</v>
      </c>
      <c r="K10">
        <v>368.95318038023549</v>
      </c>
      <c r="L10">
        <v>0.483962433566407</v>
      </c>
      <c r="M10">
        <v>0.516037566433593</v>
      </c>
      <c r="N10">
        <v>0.8811288641435</v>
      </c>
      <c r="O10">
        <v>-75.72792182190139</v>
      </c>
      <c r="P10">
        <v>108.64690889767965</v>
      </c>
      <c r="Q10">
        <v>32.918987075778254</v>
      </c>
      <c r="R10">
        <v>113.65532839997019</v>
      </c>
      <c r="S10">
        <v>330.53486203205739</v>
      </c>
      <c r="T10">
        <v>412.9437377691138</v>
      </c>
      <c r="U10">
        <v>479.50593878856307</v>
      </c>
    </row>
    <row r="11" spans="1:21" x14ac:dyDescent="0.3">
      <c r="A11">
        <v>4</v>
      </c>
      <c r="B11">
        <v>2</v>
      </c>
      <c r="C11">
        <v>30</v>
      </c>
      <c r="D11">
        <v>46.75064602484651</v>
      </c>
      <c r="E11">
        <v>338.93553715880307</v>
      </c>
      <c r="F11">
        <v>148.14114626752962</v>
      </c>
      <c r="G11">
        <v>60.754421329968103</v>
      </c>
      <c r="H11">
        <v>31.242172642436749</v>
      </c>
      <c r="I11">
        <v>8.0034060275951564</v>
      </c>
      <c r="J11">
        <v>348.21652167648494</v>
      </c>
      <c r="K11">
        <v>348.26452819326283</v>
      </c>
      <c r="L11">
        <v>0.98138775646782184</v>
      </c>
      <c r="M11">
        <v>1.8612243532178163E-2</v>
      </c>
      <c r="N11">
        <v>0.92255577212710771</v>
      </c>
      <c r="O11">
        <v>-75.727917205882662</v>
      </c>
      <c r="P11">
        <v>109.36731091946874</v>
      </c>
      <c r="Q11">
        <v>33.639393713586067</v>
      </c>
      <c r="R11">
        <v>129.21701313297444</v>
      </c>
      <c r="S11">
        <v>328.55587561717584</v>
      </c>
      <c r="T11">
        <v>414.96879425711268</v>
      </c>
      <c r="U11">
        <v>493.03879718125108</v>
      </c>
    </row>
    <row r="12" spans="1:21" x14ac:dyDescent="0.3">
      <c r="A12">
        <v>0</v>
      </c>
      <c r="B12">
        <v>2</v>
      </c>
      <c r="C12">
        <v>100</v>
      </c>
      <c r="D12">
        <v>41.094778229417891</v>
      </c>
      <c r="E12">
        <v>246.36181863417272</v>
      </c>
      <c r="F12">
        <v>151.19712710777094</v>
      </c>
      <c r="G12">
        <v>49.194729518730398</v>
      </c>
      <c r="H12">
        <v>41.988991993266943</v>
      </c>
      <c r="I12">
        <v>8.8162784880026592</v>
      </c>
      <c r="J12">
        <v>273.87447036978813</v>
      </c>
      <c r="K12">
        <v>274.13706263977366</v>
      </c>
      <c r="L12">
        <v>0.9401786161783614</v>
      </c>
      <c r="M12">
        <v>5.9821383821638596E-2</v>
      </c>
      <c r="N12">
        <v>0.94599098556035621</v>
      </c>
      <c r="O12">
        <v>-75.740860492134345</v>
      </c>
      <c r="P12">
        <v>99.595533295599225</v>
      </c>
      <c r="Q12">
        <v>23.854672803464879</v>
      </c>
      <c r="R12">
        <v>110.34100082316398</v>
      </c>
      <c r="S12">
        <v>246.55381851635593</v>
      </c>
      <c r="T12">
        <v>283.0810676268884</v>
      </c>
      <c r="U12">
        <v>313.11884263816046</v>
      </c>
    </row>
    <row r="13" spans="1:21" x14ac:dyDescent="0.3">
      <c r="A13">
        <v>1</v>
      </c>
      <c r="B13">
        <v>2</v>
      </c>
      <c r="C13">
        <v>100</v>
      </c>
      <c r="D13">
        <v>42.92552678162027</v>
      </c>
      <c r="E13">
        <v>246.85026201352758</v>
      </c>
      <c r="F13">
        <v>146.74293734237017</v>
      </c>
      <c r="G13">
        <v>67.513208541171281</v>
      </c>
      <c r="H13">
        <v>24.67769559257485</v>
      </c>
      <c r="I13">
        <v>7.8090958662538625</v>
      </c>
      <c r="J13">
        <v>341.08805837345261</v>
      </c>
      <c r="K13">
        <v>341.0880908003964</v>
      </c>
      <c r="L13">
        <v>0.41951711917572609</v>
      </c>
      <c r="M13">
        <v>0.58048288082427391</v>
      </c>
      <c r="N13">
        <v>0.89527274261826473</v>
      </c>
      <c r="O13">
        <v>-75.728311126887334</v>
      </c>
      <c r="P13">
        <v>101.14962193459718</v>
      </c>
      <c r="Q13">
        <v>25.421310807709848</v>
      </c>
      <c r="R13">
        <v>104.89284730218992</v>
      </c>
      <c r="S13">
        <v>310.50797813377903</v>
      </c>
      <c r="T13">
        <v>372.70074041037606</v>
      </c>
      <c r="U13">
        <v>428.3529905632904</v>
      </c>
    </row>
    <row r="14" spans="1:21" x14ac:dyDescent="0.3">
      <c r="A14">
        <v>2</v>
      </c>
      <c r="B14">
        <v>2</v>
      </c>
      <c r="C14">
        <v>100</v>
      </c>
      <c r="D14">
        <v>42.943066206071016</v>
      </c>
      <c r="E14">
        <v>241.95059924007671</v>
      </c>
      <c r="F14">
        <v>151.66896924610683</v>
      </c>
      <c r="G14">
        <v>67.874998282427455</v>
      </c>
      <c r="H14">
        <v>24.269684995950627</v>
      </c>
      <c r="I14">
        <v>7.8553167216219109</v>
      </c>
      <c r="J14">
        <v>346.03901838467038</v>
      </c>
      <c r="K14">
        <v>346.03908733344224</v>
      </c>
      <c r="L14">
        <v>0.78157127897156442</v>
      </c>
      <c r="M14">
        <v>0.21842872102843555</v>
      </c>
      <c r="N14">
        <v>0.89478639593978482</v>
      </c>
      <c r="O14">
        <v>-75.728306505932451</v>
      </c>
      <c r="P14">
        <v>101.54250450480272</v>
      </c>
      <c r="Q14">
        <v>25.814197998870274</v>
      </c>
      <c r="R14">
        <v>119.63550863198527</v>
      </c>
      <c r="S14">
        <v>312.16682490983658</v>
      </c>
      <c r="T14">
        <v>377.4497327391864</v>
      </c>
      <c r="U14">
        <v>441.88787270812009</v>
      </c>
    </row>
    <row r="15" spans="1:21" x14ac:dyDescent="0.3">
      <c r="A15">
        <v>3</v>
      </c>
      <c r="B15">
        <v>2</v>
      </c>
      <c r="C15">
        <v>100</v>
      </c>
      <c r="D15">
        <v>42.940260716887146</v>
      </c>
      <c r="E15">
        <v>247.11783325898332</v>
      </c>
      <c r="F15">
        <v>146.81012168666712</v>
      </c>
      <c r="G15">
        <v>67.5881880116806</v>
      </c>
      <c r="H15">
        <v>24.608663128578076</v>
      </c>
      <c r="I15">
        <v>7.8031488597413334</v>
      </c>
      <c r="J15">
        <v>345.11288777104477</v>
      </c>
      <c r="K15">
        <v>345.11291143165045</v>
      </c>
      <c r="L15">
        <v>0.73413838140905363</v>
      </c>
      <c r="M15">
        <v>0.26586161859094631</v>
      </c>
      <c r="N15">
        <v>0.89314481703233517</v>
      </c>
      <c r="O15">
        <v>-75.728311126887689</v>
      </c>
      <c r="P15">
        <v>101.17811610073858</v>
      </c>
      <c r="Q15">
        <v>25.449804973850888</v>
      </c>
      <c r="R15">
        <v>104.92185426218245</v>
      </c>
      <c r="S15">
        <v>312.39599478739638</v>
      </c>
      <c r="T15">
        <v>375.51387607906599</v>
      </c>
      <c r="U15">
        <v>431.36627263590253</v>
      </c>
    </row>
    <row r="16" spans="1:21" x14ac:dyDescent="0.3">
      <c r="A16">
        <v>4</v>
      </c>
      <c r="B16">
        <v>2</v>
      </c>
      <c r="C16">
        <v>100</v>
      </c>
      <c r="D16">
        <v>41.483075892776405</v>
      </c>
      <c r="E16">
        <v>238.16853255191845</v>
      </c>
      <c r="F16">
        <v>150.34456704207514</v>
      </c>
      <c r="G16">
        <v>51.63673864114795</v>
      </c>
      <c r="H16">
        <v>39.428179458987401</v>
      </c>
      <c r="I16">
        <v>8.9350818998646488</v>
      </c>
      <c r="J16">
        <v>335.27775534931777</v>
      </c>
      <c r="K16">
        <v>335.27850838223247</v>
      </c>
      <c r="L16">
        <v>0.99282406983983151</v>
      </c>
      <c r="M16">
        <v>7.1759301601684866E-3</v>
      </c>
      <c r="N16">
        <v>0.94701673926153973</v>
      </c>
      <c r="O16">
        <v>-75.728306505934214</v>
      </c>
      <c r="P16">
        <v>101.72347712706893</v>
      </c>
      <c r="Q16">
        <v>25.995170621134719</v>
      </c>
      <c r="R16">
        <v>120.83664074157809</v>
      </c>
      <c r="S16">
        <v>315.68618693150256</v>
      </c>
      <c r="T16">
        <v>382.06180417068572</v>
      </c>
      <c r="U16">
        <v>446.64819730462841</v>
      </c>
    </row>
    <row r="19" spans="3:17" x14ac:dyDescent="0.3">
      <c r="D19" s="1" t="s">
        <v>32</v>
      </c>
      <c r="N19" s="1" t="s">
        <v>35</v>
      </c>
    </row>
    <row r="20" spans="3:17" x14ac:dyDescent="0.3">
      <c r="C20" s="1" t="s">
        <v>29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L20" t="s">
        <v>16</v>
      </c>
      <c r="M20" t="s">
        <v>17</v>
      </c>
      <c r="N20" t="s">
        <v>18</v>
      </c>
      <c r="O20" t="s">
        <v>19</v>
      </c>
      <c r="P20" t="s">
        <v>20</v>
      </c>
      <c r="Q20" s="4" t="s">
        <v>29</v>
      </c>
    </row>
    <row r="21" spans="3:17" x14ac:dyDescent="0.3">
      <c r="C21" s="3">
        <v>0</v>
      </c>
      <c r="D21" s="6">
        <f>((D7-D2)/D2)*100</f>
        <v>-11.83000638798616</v>
      </c>
      <c r="E21" s="6">
        <f t="shared" ref="E21:I21" si="0">((E7-E2)/E2)*100</f>
        <v>-38.491194511468194</v>
      </c>
      <c r="F21" s="6">
        <f t="shared" si="0"/>
        <v>-29.649821882194878</v>
      </c>
      <c r="G21" s="6">
        <f t="shared" si="0"/>
        <v>-4.0066386179489948</v>
      </c>
      <c r="H21" s="6">
        <f t="shared" si="0"/>
        <v>6.3318253129463002</v>
      </c>
      <c r="I21" s="6">
        <f t="shared" si="0"/>
        <v>4.7228855198802044</v>
      </c>
      <c r="L21" s="6">
        <f>((Q7-Q2)/Q2)*100</f>
        <v>-15.486534706069746</v>
      </c>
      <c r="M21" s="6">
        <f t="shared" ref="M21:P25" si="1">((R7-R2)/R2)*100</f>
        <v>-9.5926499564392156</v>
      </c>
      <c r="N21" s="6">
        <f t="shared" si="1"/>
        <v>-23.729401752683227</v>
      </c>
      <c r="O21" s="6">
        <f t="shared" si="1"/>
        <v>-24.179044573638745</v>
      </c>
      <c r="P21" s="6">
        <f t="shared" si="1"/>
        <v>-23.485851022389991</v>
      </c>
      <c r="Q21" s="5">
        <v>0</v>
      </c>
    </row>
    <row r="22" spans="3:17" x14ac:dyDescent="0.3">
      <c r="C22" s="3">
        <v>1</v>
      </c>
      <c r="D22" s="6">
        <f>((D8-D3)/D3)*100</f>
        <v>-12.254454877288136</v>
      </c>
      <c r="E22" s="6">
        <f t="shared" ref="E22:I22" si="2">((E8-E3)/E3)*100</f>
        <v>-39.435069204022881</v>
      </c>
      <c r="F22" s="6">
        <f t="shared" si="2"/>
        <v>-33.685287478697141</v>
      </c>
      <c r="G22" s="6">
        <f t="shared" si="2"/>
        <v>6.9834396563124583</v>
      </c>
      <c r="H22" s="6">
        <f t="shared" si="2"/>
        <v>-15.559179977384652</v>
      </c>
      <c r="I22" s="6">
        <f t="shared" si="2"/>
        <v>-1.0071918833860996</v>
      </c>
      <c r="L22" s="6">
        <f t="shared" ref="L22:L25" si="3">((Q8-Q3)/Q3)*100</f>
        <v>-15.1927574835427</v>
      </c>
      <c r="M22" s="6">
        <f t="shared" si="1"/>
        <v>-12.526957081397915</v>
      </c>
      <c r="N22" s="6">
        <f t="shared" si="1"/>
        <v>-21.387433076828462</v>
      </c>
      <c r="O22" s="6">
        <f t="shared" si="1"/>
        <v>-23.675710928597887</v>
      </c>
      <c r="P22" s="6">
        <f t="shared" si="1"/>
        <v>-23.643967719183841</v>
      </c>
      <c r="Q22" s="5">
        <v>1</v>
      </c>
    </row>
    <row r="23" spans="3:17" x14ac:dyDescent="0.3">
      <c r="C23" s="3">
        <v>2</v>
      </c>
      <c r="D23" s="6">
        <f>((D9-D4)/D4)*100</f>
        <v>-11.388562379946258</v>
      </c>
      <c r="E23" s="6">
        <f t="shared" ref="E23:I23" si="4">((E9-E4)/E4)*100</f>
        <v>-39.133581969923689</v>
      </c>
      <c r="F23" s="6">
        <f t="shared" si="4"/>
        <v>-31.110248302996574</v>
      </c>
      <c r="G23" s="6">
        <f t="shared" si="4"/>
        <v>-5.9279491144769496</v>
      </c>
      <c r="H23" s="6">
        <f t="shared" si="4"/>
        <v>12.307568278125846</v>
      </c>
      <c r="I23" s="6">
        <f t="shared" si="4"/>
        <v>4.9164673730285831</v>
      </c>
      <c r="L23" s="6">
        <f t="shared" si="3"/>
        <v>-13.701261904963605</v>
      </c>
      <c r="M23" s="6">
        <f t="shared" si="1"/>
        <v>-5.8326804546025706</v>
      </c>
      <c r="N23" s="6">
        <f t="shared" si="1"/>
        <v>-21.72943161090291</v>
      </c>
      <c r="O23" s="6">
        <f t="shared" si="1"/>
        <v>-23.759405417646082</v>
      </c>
      <c r="P23" s="6">
        <f t="shared" si="1"/>
        <v>-24.153752589005517</v>
      </c>
      <c r="Q23" s="5">
        <v>2</v>
      </c>
    </row>
    <row r="24" spans="3:17" x14ac:dyDescent="0.3">
      <c r="C24" s="3">
        <v>3</v>
      </c>
      <c r="D24" s="6">
        <f>((D10-D5)/D5)*100</f>
        <v>-12.413392008094023</v>
      </c>
      <c r="E24" s="6">
        <f t="shared" ref="E24:I24" si="5">((E10-E5)/E5)*100</f>
        <v>-40.826528081128799</v>
      </c>
      <c r="F24" s="6">
        <f t="shared" si="5"/>
        <v>-38.458594059726245</v>
      </c>
      <c r="G24" s="6">
        <f t="shared" si="5"/>
        <v>4.3849971707644579</v>
      </c>
      <c r="H24" s="6">
        <f t="shared" si="5"/>
        <v>-10.708200250895283</v>
      </c>
      <c r="I24" s="6">
        <f t="shared" si="5"/>
        <v>-0.58741547047512532</v>
      </c>
      <c r="L24" s="6">
        <f t="shared" si="3"/>
        <v>-15.198299311503662</v>
      </c>
      <c r="M24" s="6">
        <f t="shared" si="1"/>
        <v>-8.3600155127233187</v>
      </c>
      <c r="N24" s="7">
        <f t="shared" si="1"/>
        <v>-29.053574856140763</v>
      </c>
      <c r="O24" s="7">
        <f t="shared" si="1"/>
        <v>-36.577533880285877</v>
      </c>
      <c r="P24" s="7">
        <f t="shared" si="1"/>
        <v>-36.204269366149759</v>
      </c>
      <c r="Q24" s="5">
        <v>3</v>
      </c>
    </row>
    <row r="25" spans="3:17" x14ac:dyDescent="0.3">
      <c r="C25" s="3">
        <v>4</v>
      </c>
      <c r="D25" s="6">
        <f>((D11-D6)/D6)*100</f>
        <v>-11.815469677847384</v>
      </c>
      <c r="E25" s="6">
        <f t="shared" ref="E25:H25" si="6">((E11-E6)/E6)*100</f>
        <v>-40.879810061766328</v>
      </c>
      <c r="F25" s="6">
        <f t="shared" si="6"/>
        <v>-36.285996977138538</v>
      </c>
      <c r="G25" s="6">
        <f t="shared" si="6"/>
        <v>-8.3892129492698526</v>
      </c>
      <c r="H25" s="6">
        <f t="shared" si="6"/>
        <v>19.800221931283861</v>
      </c>
      <c r="I25" s="6">
        <f>((I11-I6)/I6)*100</f>
        <v>5.2600199081513397</v>
      </c>
      <c r="L25" s="6">
        <f t="shared" si="3"/>
        <v>-13.444910470649205</v>
      </c>
      <c r="M25" s="6">
        <f t="shared" si="1"/>
        <v>-0.54100652879266353</v>
      </c>
      <c r="N25" s="6">
        <f t="shared" si="1"/>
        <v>-29.459164044334475</v>
      </c>
      <c r="O25" s="6">
        <f t="shared" si="1"/>
        <v>-37.093979530824399</v>
      </c>
      <c r="P25" s="6">
        <f t="shared" si="1"/>
        <v>-37.393609021921151</v>
      </c>
      <c r="Q25" s="5">
        <v>4</v>
      </c>
    </row>
    <row r="26" spans="3:17" x14ac:dyDescent="0.3">
      <c r="Q26" s="5"/>
    </row>
    <row r="27" spans="3:17" x14ac:dyDescent="0.3">
      <c r="Q27" s="5"/>
    </row>
    <row r="28" spans="3:17" x14ac:dyDescent="0.3">
      <c r="D28" s="1" t="s">
        <v>33</v>
      </c>
      <c r="N28" s="1" t="s">
        <v>34</v>
      </c>
      <c r="Q28" s="5"/>
    </row>
    <row r="29" spans="3:17" x14ac:dyDescent="0.3">
      <c r="C29" s="1" t="s">
        <v>29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L29" t="s">
        <v>16</v>
      </c>
      <c r="M29" t="s">
        <v>17</v>
      </c>
      <c r="N29" t="s">
        <v>18</v>
      </c>
      <c r="O29" t="s">
        <v>19</v>
      </c>
      <c r="P29" t="s">
        <v>20</v>
      </c>
      <c r="Q29" s="4" t="s">
        <v>29</v>
      </c>
    </row>
    <row r="30" spans="3:17" x14ac:dyDescent="0.3">
      <c r="C30" s="3">
        <v>0</v>
      </c>
      <c r="D30" s="6">
        <f>((D12-D2)/D2)*100</f>
        <v>-21.943093428491458</v>
      </c>
      <c r="E30" s="6">
        <f t="shared" ref="E30:I30" si="7">((E12-E2)/E2)*100</f>
        <v>-56.310023144011836</v>
      </c>
      <c r="F30" s="6">
        <f t="shared" si="7"/>
        <v>-27.737439691423305</v>
      </c>
      <c r="G30" s="6">
        <f t="shared" si="7"/>
        <v>-18.13097678938075</v>
      </c>
      <c r="H30" s="6">
        <f t="shared" si="7"/>
        <v>29.260917744837684</v>
      </c>
      <c r="I30" s="6">
        <f t="shared" si="7"/>
        <v>18.713070870507885</v>
      </c>
      <c r="L30" s="6">
        <f>((Q12-Q2)/Q2)*100</f>
        <v>-37.055280094078284</v>
      </c>
      <c r="M30" s="6">
        <f t="shared" ref="M30:P33" si="8">((R12-R2)/R2)*100</f>
        <v>-17.406732972574083</v>
      </c>
      <c r="N30" s="6">
        <f t="shared" si="8"/>
        <v>-26.752410403263276</v>
      </c>
      <c r="O30" s="6">
        <f t="shared" si="8"/>
        <v>-29.528705733858899</v>
      </c>
      <c r="P30" s="6">
        <f t="shared" si="8"/>
        <v>-29.427548906670221</v>
      </c>
      <c r="Q30" s="5">
        <v>0</v>
      </c>
    </row>
    <row r="31" spans="3:17" x14ac:dyDescent="0.3">
      <c r="C31" s="3">
        <v>1</v>
      </c>
      <c r="D31" s="6">
        <f t="shared" ref="D31:I34" si="9">((D13-D3)/D3)*100</f>
        <v>-18.363301832411025</v>
      </c>
      <c r="E31" s="6">
        <f t="shared" si="9"/>
        <v>-55.878739797767373</v>
      </c>
      <c r="F31" s="6">
        <f t="shared" si="9"/>
        <v>-30.024083311192101</v>
      </c>
      <c r="G31" s="6">
        <f t="shared" si="9"/>
        <v>5.3483540862429138</v>
      </c>
      <c r="H31" s="6">
        <f t="shared" si="9"/>
        <v>-12.703127699237623</v>
      </c>
      <c r="I31" s="6">
        <f t="shared" si="9"/>
        <v>2.1382279328408407</v>
      </c>
      <c r="L31" s="6">
        <f t="shared" ref="L31:L33" si="10">((Q13-Q3)/Q3)*100</f>
        <v>-34.50111159908483</v>
      </c>
      <c r="M31" s="6">
        <f t="shared" si="8"/>
        <v>-19.784325619091618</v>
      </c>
      <c r="N31" s="6">
        <f t="shared" si="8"/>
        <v>-24.797639417439907</v>
      </c>
      <c r="O31" s="6">
        <f t="shared" si="8"/>
        <v>-29.376735565267804</v>
      </c>
      <c r="P31" s="6">
        <f t="shared" si="8"/>
        <v>-30.170009364483676</v>
      </c>
      <c r="Q31" s="5">
        <v>1</v>
      </c>
    </row>
    <row r="32" spans="3:17" x14ac:dyDescent="0.3">
      <c r="C32" s="3">
        <v>2</v>
      </c>
      <c r="D32" s="6">
        <f t="shared" si="9"/>
        <v>-18.517500266478184</v>
      </c>
      <c r="E32" s="6">
        <f t="shared" si="9"/>
        <v>-56.329630237626802</v>
      </c>
      <c r="F32" s="6">
        <f t="shared" si="9"/>
        <v>-28.581858592346876</v>
      </c>
      <c r="G32" s="6">
        <f t="shared" si="9"/>
        <v>5.408327327297167</v>
      </c>
      <c r="H32" s="6">
        <f t="shared" si="9"/>
        <v>-13.197108345222411</v>
      </c>
      <c r="I32" s="6">
        <f t="shared" si="9"/>
        <v>2.710452811137686</v>
      </c>
      <c r="L32" s="6">
        <f t="shared" si="10"/>
        <v>-33.712933011950867</v>
      </c>
      <c r="M32" s="6">
        <f t="shared" si="8"/>
        <v>-12.815062005906952</v>
      </c>
      <c r="N32" s="6">
        <f t="shared" si="8"/>
        <v>-24.26220540002268</v>
      </c>
      <c r="O32" s="6">
        <f t="shared" si="8"/>
        <v>-28.832211560794924</v>
      </c>
      <c r="P32" s="6">
        <f t="shared" si="8"/>
        <v>-30.314228489712487</v>
      </c>
      <c r="Q32" s="5">
        <v>2</v>
      </c>
    </row>
    <row r="33" spans="3:17" x14ac:dyDescent="0.3">
      <c r="C33" s="3">
        <v>3</v>
      </c>
      <c r="D33" s="6">
        <f t="shared" si="9"/>
        <v>-18.560611781323693</v>
      </c>
      <c r="E33" s="6">
        <f t="shared" si="9"/>
        <v>-56.974323902253467</v>
      </c>
      <c r="F33" s="6">
        <f t="shared" si="9"/>
        <v>-35.350127131534279</v>
      </c>
      <c r="G33" s="6">
        <f t="shared" si="9"/>
        <v>2.6382089738993137</v>
      </c>
      <c r="H33" s="6">
        <f t="shared" si="9"/>
        <v>-7.3083751729059534</v>
      </c>
      <c r="I33" s="6">
        <f t="shared" si="9"/>
        <v>2.671178792345851</v>
      </c>
      <c r="L33" s="6">
        <f t="shared" si="10"/>
        <v>-34.439454682944991</v>
      </c>
      <c r="M33" s="6">
        <f t="shared" si="8"/>
        <v>-15.401792134848765</v>
      </c>
      <c r="N33" s="7">
        <f t="shared" si="8"/>
        <v>-32.946924499371235</v>
      </c>
      <c r="O33" s="7">
        <f t="shared" si="8"/>
        <v>-42.326244704010591</v>
      </c>
      <c r="P33" s="7">
        <f t="shared" si="8"/>
        <v>-42.608997496186134</v>
      </c>
      <c r="Q33" s="5">
        <v>3</v>
      </c>
    </row>
    <row r="34" spans="3:17" x14ac:dyDescent="0.3">
      <c r="C34" s="3">
        <v>4</v>
      </c>
      <c r="D34" s="6">
        <f t="shared" si="9"/>
        <v>-21.751550513794008</v>
      </c>
      <c r="E34" s="6">
        <f t="shared" si="9"/>
        <v>-58.456498838059069</v>
      </c>
      <c r="F34" s="6">
        <f t="shared" si="9"/>
        <v>-35.3383280719952</v>
      </c>
      <c r="G34" s="6">
        <f t="shared" si="9"/>
        <v>-22.137645884958388</v>
      </c>
      <c r="H34" s="6">
        <f t="shared" si="9"/>
        <v>51.190018171692884</v>
      </c>
      <c r="I34" s="6">
        <f t="shared" si="9"/>
        <v>17.513330626725281</v>
      </c>
      <c r="L34" s="6">
        <f>((Q16-Q6)/Q6)*100</f>
        <v>-33.113707708282995</v>
      </c>
      <c r="M34" s="6">
        <f t="shared" ref="M34:P34" si="11">((R16-R6)/R6)*100</f>
        <v>-6.9914218630678437</v>
      </c>
      <c r="N34" s="6">
        <f t="shared" si="11"/>
        <v>-32.222281875270333</v>
      </c>
      <c r="O34" s="6">
        <f t="shared" si="11"/>
        <v>-42.082421603105004</v>
      </c>
      <c r="P34" s="6">
        <f t="shared" si="11"/>
        <v>-43.284317927970498</v>
      </c>
      <c r="Q34" s="5">
        <v>4</v>
      </c>
    </row>
    <row r="35" spans="3:17" x14ac:dyDescent="0.3">
      <c r="D35" s="6"/>
    </row>
    <row r="36" spans="3:17" ht="15" thickBot="1" x14ac:dyDescent="0.35">
      <c r="K36" s="6"/>
      <c r="L36" s="6"/>
    </row>
    <row r="37" spans="3:17" x14ac:dyDescent="0.3">
      <c r="D37" s="10" t="s">
        <v>0</v>
      </c>
      <c r="E37" s="11"/>
    </row>
    <row r="38" spans="3:17" x14ac:dyDescent="0.3">
      <c r="D38" s="8" t="s">
        <v>24</v>
      </c>
      <c r="E38" s="9"/>
    </row>
    <row r="39" spans="3:17" x14ac:dyDescent="0.3">
      <c r="D39" s="8" t="s">
        <v>25</v>
      </c>
      <c r="E39" s="9"/>
    </row>
    <row r="40" spans="3:17" x14ac:dyDescent="0.3">
      <c r="D40" s="8" t="s">
        <v>26</v>
      </c>
      <c r="E40" s="9"/>
    </row>
    <row r="41" spans="3:17" x14ac:dyDescent="0.3">
      <c r="D41" s="8" t="s">
        <v>27</v>
      </c>
      <c r="E41" s="9"/>
    </row>
    <row r="42" spans="3:17" ht="15" thickBot="1" x14ac:dyDescent="0.35">
      <c r="D42" s="12" t="s">
        <v>28</v>
      </c>
      <c r="E42" s="13"/>
    </row>
  </sheetData>
  <mergeCells count="6">
    <mergeCell ref="D42:E42"/>
    <mergeCell ref="D38:E38"/>
    <mergeCell ref="D37:E37"/>
    <mergeCell ref="D39:E39"/>
    <mergeCell ref="D40:E40"/>
    <mergeCell ref="D41:E4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02DE-5A42-478F-937E-04FA0633541C}">
  <dimension ref="A1:U42"/>
  <sheetViews>
    <sheetView zoomScale="85" zoomScaleNormal="85" workbookViewId="0">
      <selection activeCell="P33" sqref="P33"/>
    </sheetView>
  </sheetViews>
  <sheetFormatPr defaultRowHeight="14.4" x14ac:dyDescent="0.3"/>
  <cols>
    <col min="4" max="4" width="16.33203125" customWidth="1"/>
  </cols>
  <sheetData>
    <row r="1" spans="1:2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0</v>
      </c>
      <c r="B2">
        <v>0</v>
      </c>
      <c r="C2">
        <v>0</v>
      </c>
      <c r="D2">
        <v>52.647203219321334</v>
      </c>
      <c r="E2">
        <v>563.88635646623436</v>
      </c>
      <c r="F2">
        <v>209.23300594682314</v>
      </c>
      <c r="G2">
        <v>60.089552298883831</v>
      </c>
      <c r="H2">
        <v>32.483903662322454</v>
      </c>
      <c r="I2">
        <v>7.4265440387937129</v>
      </c>
      <c r="J2">
        <v>307.31009718223464</v>
      </c>
      <c r="K2">
        <v>308.59678650889032</v>
      </c>
      <c r="L2">
        <v>0.99608874618274512</v>
      </c>
      <c r="M2">
        <v>3.9112538172548783E-3</v>
      </c>
      <c r="N2">
        <v>0.85560361338842361</v>
      </c>
      <c r="O2">
        <v>-75.739175368098273</v>
      </c>
      <c r="P2">
        <v>113.63698925799801</v>
      </c>
      <c r="Q2">
        <v>37.89781388989973</v>
      </c>
      <c r="R2">
        <v>133.59563653841681</v>
      </c>
      <c r="S2">
        <v>336.6033201553164</v>
      </c>
      <c r="T2">
        <v>401.69698963922474</v>
      </c>
      <c r="U2">
        <v>443.68423908653949</v>
      </c>
    </row>
    <row r="3" spans="1:21" x14ac:dyDescent="0.3">
      <c r="A3">
        <v>1</v>
      </c>
      <c r="B3">
        <v>0</v>
      </c>
      <c r="C3">
        <v>0</v>
      </c>
      <c r="D3">
        <v>52.581164776532283</v>
      </c>
      <c r="E3">
        <v>559.48144019929077</v>
      </c>
      <c r="F3">
        <v>209.70491604269409</v>
      </c>
      <c r="G3">
        <v>64.085679483802778</v>
      </c>
      <c r="H3">
        <v>28.268705329502779</v>
      </c>
      <c r="I3">
        <v>7.6456151866944406</v>
      </c>
      <c r="J3">
        <v>392.58408596160939</v>
      </c>
      <c r="K3">
        <v>392.98633583137877</v>
      </c>
      <c r="L3">
        <v>0.9153429050237023</v>
      </c>
      <c r="M3">
        <v>8.4657094976297698E-2</v>
      </c>
      <c r="N3">
        <v>0.87079788270598191</v>
      </c>
      <c r="O3">
        <v>-75.726649147914586</v>
      </c>
      <c r="P3">
        <v>114.53846936096518</v>
      </c>
      <c r="Q3">
        <v>38.811820213050595</v>
      </c>
      <c r="R3">
        <v>130.76352983595285</v>
      </c>
      <c r="S3">
        <v>412.8965842673133</v>
      </c>
      <c r="T3">
        <v>527.73083118356044</v>
      </c>
      <c r="U3">
        <v>613.42266648597433</v>
      </c>
    </row>
    <row r="4" spans="1:21" x14ac:dyDescent="0.3">
      <c r="A4">
        <v>2</v>
      </c>
      <c r="B4">
        <v>0</v>
      </c>
      <c r="C4">
        <v>0</v>
      </c>
      <c r="D4">
        <v>52.702195375093879</v>
      </c>
      <c r="E4">
        <v>554.03835725829742</v>
      </c>
      <c r="F4">
        <v>212.36756691886421</v>
      </c>
      <c r="G4">
        <v>64.392444129838822</v>
      </c>
      <c r="H4">
        <v>27.959535141378939</v>
      </c>
      <c r="I4">
        <v>7.6480207287822397</v>
      </c>
      <c r="J4">
        <v>398.86410533113406</v>
      </c>
      <c r="K4">
        <v>398.88480988334481</v>
      </c>
      <c r="L4">
        <v>0.62466836632727429</v>
      </c>
      <c r="M4">
        <v>0.37533163367272565</v>
      </c>
      <c r="N4">
        <v>0.87379062754404324</v>
      </c>
      <c r="O4">
        <v>-75.726644551002423</v>
      </c>
      <c r="P4">
        <v>114.66968302263115</v>
      </c>
      <c r="Q4">
        <v>38.943038471628718</v>
      </c>
      <c r="R4">
        <v>137.22038620947441</v>
      </c>
      <c r="S4">
        <v>412.16783055091764</v>
      </c>
      <c r="T4">
        <v>530.36597176491159</v>
      </c>
      <c r="U4">
        <v>634.11491776751791</v>
      </c>
    </row>
    <row r="5" spans="1:21" x14ac:dyDescent="0.3">
      <c r="A5">
        <v>3</v>
      </c>
      <c r="B5">
        <v>0</v>
      </c>
      <c r="C5">
        <v>0</v>
      </c>
      <c r="D5">
        <v>52.726649421268313</v>
      </c>
      <c r="E5">
        <v>574.34968063622375</v>
      </c>
      <c r="F5">
        <v>227.08493485418239</v>
      </c>
      <c r="G5">
        <v>65.85090356444951</v>
      </c>
      <c r="H5">
        <v>26.548960787431238</v>
      </c>
      <c r="I5">
        <v>7.600135648119255</v>
      </c>
      <c r="J5">
        <v>529.76725375843057</v>
      </c>
      <c r="K5">
        <v>530.05627468733223</v>
      </c>
      <c r="L5">
        <v>0.27094941309561582</v>
      </c>
      <c r="M5">
        <v>0.72905058690438418</v>
      </c>
      <c r="N5">
        <v>0.88472732069837134</v>
      </c>
      <c r="O5">
        <v>-75.726649148047002</v>
      </c>
      <c r="P5">
        <v>114.54543085703676</v>
      </c>
      <c r="Q5">
        <v>38.818781708989754</v>
      </c>
      <c r="R5">
        <v>124.02373160129694</v>
      </c>
      <c r="S5">
        <v>465.89361107600052</v>
      </c>
      <c r="T5">
        <v>651.10009596545024</v>
      </c>
      <c r="U5">
        <v>751.62700391448379</v>
      </c>
    </row>
    <row r="6" spans="1:21" x14ac:dyDescent="0.3">
      <c r="A6">
        <v>4</v>
      </c>
      <c r="B6">
        <v>0</v>
      </c>
      <c r="C6">
        <v>0</v>
      </c>
      <c r="D6">
        <v>53.014565994805096</v>
      </c>
      <c r="E6">
        <v>573.29913437847358</v>
      </c>
      <c r="F6">
        <v>232.5095571445645</v>
      </c>
      <c r="G6">
        <v>66.317977703133252</v>
      </c>
      <c r="H6">
        <v>26.078559904802955</v>
      </c>
      <c r="I6">
        <v>7.6034623920638005</v>
      </c>
      <c r="J6">
        <v>548.16189432215219</v>
      </c>
      <c r="K6">
        <v>548.16200797433112</v>
      </c>
      <c r="L6">
        <v>0.40689442001139575</v>
      </c>
      <c r="M6">
        <v>0.59310557998860425</v>
      </c>
      <c r="N6">
        <v>0.89456182863874334</v>
      </c>
      <c r="O6">
        <v>-75.72664455113474</v>
      </c>
      <c r="P6">
        <v>114.59136515451297</v>
      </c>
      <c r="Q6">
        <v>38.864720603378224</v>
      </c>
      <c r="R6">
        <v>129.9198882103928</v>
      </c>
      <c r="S6">
        <v>465.76691524278385</v>
      </c>
      <c r="T6">
        <v>659.66467305057131</v>
      </c>
      <c r="U6">
        <v>787.52151254635464</v>
      </c>
    </row>
    <row r="7" spans="1:21" x14ac:dyDescent="0.3">
      <c r="A7">
        <v>0</v>
      </c>
      <c r="B7">
        <v>1</v>
      </c>
      <c r="C7">
        <v>5</v>
      </c>
      <c r="D7">
        <v>52.245168227942557</v>
      </c>
      <c r="E7">
        <v>566.68238716223948</v>
      </c>
      <c r="F7">
        <v>204.82988990823287</v>
      </c>
      <c r="G7">
        <v>57.981606016660926</v>
      </c>
      <c r="H7">
        <v>34.432473542016865</v>
      </c>
      <c r="I7">
        <v>7.5859204413222141</v>
      </c>
      <c r="J7">
        <v>294.56953310107093</v>
      </c>
      <c r="K7">
        <v>294.56962541466373</v>
      </c>
      <c r="L7">
        <v>0.99962519564708874</v>
      </c>
      <c r="M7">
        <v>3.7480435291126213E-4</v>
      </c>
      <c r="N7">
        <v>0.89745924747580208</v>
      </c>
      <c r="O7">
        <v>-75.739269420324959</v>
      </c>
      <c r="P7">
        <v>113.42944911038963</v>
      </c>
      <c r="Q7">
        <v>37.690179690064667</v>
      </c>
      <c r="R7">
        <v>107.01830766241601</v>
      </c>
      <c r="S7">
        <v>338.25874880596712</v>
      </c>
      <c r="T7">
        <v>403.0140103131489</v>
      </c>
      <c r="U7">
        <v>444.7117315806081</v>
      </c>
    </row>
    <row r="8" spans="1:21" x14ac:dyDescent="0.3">
      <c r="A8">
        <v>1</v>
      </c>
      <c r="B8">
        <v>1</v>
      </c>
      <c r="C8">
        <v>5</v>
      </c>
      <c r="D8">
        <v>52.265051290486909</v>
      </c>
      <c r="E8">
        <v>564.27996112153073</v>
      </c>
      <c r="F8">
        <v>203.87591852993501</v>
      </c>
      <c r="G8">
        <v>61.336048973292222</v>
      </c>
      <c r="H8">
        <v>30.906513024206735</v>
      </c>
      <c r="I8">
        <v>7.7574380025010532</v>
      </c>
      <c r="J8">
        <v>356.05086625102371</v>
      </c>
      <c r="K8">
        <v>356.05088956593613</v>
      </c>
      <c r="L8">
        <v>0.77674448740853197</v>
      </c>
      <c r="M8">
        <v>0.22325551259146803</v>
      </c>
      <c r="N8">
        <v>0.90875515384483752</v>
      </c>
      <c r="O8">
        <v>-75.726743582949283</v>
      </c>
      <c r="P8">
        <v>114.3763050269888</v>
      </c>
      <c r="Q8">
        <v>38.649561444039527</v>
      </c>
      <c r="R8">
        <v>98.50106028871204</v>
      </c>
      <c r="S8">
        <v>413.39494091888719</v>
      </c>
      <c r="T8">
        <v>527.18487218342398</v>
      </c>
      <c r="U8">
        <v>610.14847538790673</v>
      </c>
    </row>
    <row r="9" spans="1:21" x14ac:dyDescent="0.3">
      <c r="A9">
        <v>2</v>
      </c>
      <c r="B9">
        <v>1</v>
      </c>
      <c r="C9">
        <v>5</v>
      </c>
      <c r="D9">
        <v>52.393819054345293</v>
      </c>
      <c r="E9">
        <v>559.61638937578573</v>
      </c>
      <c r="F9">
        <v>206.21772158069507</v>
      </c>
      <c r="G9">
        <v>61.46120124187231</v>
      </c>
      <c r="H9">
        <v>30.781070566300379</v>
      </c>
      <c r="I9">
        <v>7.7577281918273124</v>
      </c>
      <c r="J9">
        <v>358.05518868737681</v>
      </c>
      <c r="K9">
        <v>358.05527090667925</v>
      </c>
      <c r="L9">
        <v>0.77627733884533401</v>
      </c>
      <c r="M9">
        <v>0.22372266115466599</v>
      </c>
      <c r="N9">
        <v>0.90933974947209417</v>
      </c>
      <c r="O9">
        <v>-75.726740858527506</v>
      </c>
      <c r="P9">
        <v>114.54891550860842</v>
      </c>
      <c r="Q9">
        <v>38.822174650080918</v>
      </c>
      <c r="R9">
        <v>107.05906970444482</v>
      </c>
      <c r="S9">
        <v>412.97172892923572</v>
      </c>
      <c r="T9">
        <v>528.95052862154535</v>
      </c>
      <c r="U9">
        <v>620.08098036044885</v>
      </c>
    </row>
    <row r="10" spans="1:21" x14ac:dyDescent="0.3">
      <c r="A10">
        <v>3</v>
      </c>
      <c r="B10">
        <v>1</v>
      </c>
      <c r="C10">
        <v>5</v>
      </c>
      <c r="D10">
        <v>52.444181038781842</v>
      </c>
      <c r="E10">
        <v>579.14371339548643</v>
      </c>
      <c r="F10">
        <v>221.52841840623023</v>
      </c>
      <c r="G10">
        <v>62.544027605943533</v>
      </c>
      <c r="H10">
        <v>29.776646211345039</v>
      </c>
      <c r="I10">
        <v>7.679326182711427</v>
      </c>
      <c r="J10">
        <v>427.15916129901723</v>
      </c>
      <c r="K10">
        <v>427.32661097048737</v>
      </c>
      <c r="L10">
        <v>0.89015792408561112</v>
      </c>
      <c r="M10">
        <v>0.10984207591438888</v>
      </c>
      <c r="N10">
        <v>0.90719045000825849</v>
      </c>
      <c r="O10">
        <v>-75.726743583077763</v>
      </c>
      <c r="P10">
        <v>114.84942727549802</v>
      </c>
      <c r="Q10">
        <v>39.122683692420246</v>
      </c>
      <c r="R10">
        <v>114.68663728833918</v>
      </c>
      <c r="S10">
        <v>465.96837582467106</v>
      </c>
      <c r="T10">
        <v>646.73252683279679</v>
      </c>
      <c r="U10">
        <v>743.75082824049787</v>
      </c>
    </row>
    <row r="11" spans="1:21" x14ac:dyDescent="0.3">
      <c r="A11">
        <v>4</v>
      </c>
      <c r="B11">
        <v>1</v>
      </c>
      <c r="C11">
        <v>5</v>
      </c>
      <c r="D11">
        <v>52.64130509819811</v>
      </c>
      <c r="E11">
        <v>577.58951713301497</v>
      </c>
      <c r="F11">
        <v>225.4278003852005</v>
      </c>
      <c r="G11">
        <v>62.677895802199181</v>
      </c>
      <c r="H11">
        <v>29.65098462367164</v>
      </c>
      <c r="I11">
        <v>7.671119574129186</v>
      </c>
      <c r="J11">
        <v>430.90468066972602</v>
      </c>
      <c r="K11">
        <v>430.9091636934495</v>
      </c>
      <c r="L11">
        <v>0.92151458172486034</v>
      </c>
      <c r="M11">
        <v>7.8485418275139621E-2</v>
      </c>
      <c r="N11">
        <v>0.90797706121975752</v>
      </c>
      <c r="O11">
        <v>-75.726740858658331</v>
      </c>
      <c r="P11">
        <v>115.12285162893204</v>
      </c>
      <c r="Q11">
        <v>39.396110770273708</v>
      </c>
      <c r="R11">
        <v>125.33469837144655</v>
      </c>
      <c r="S11">
        <v>466.5197671498554</v>
      </c>
      <c r="T11">
        <v>654.05610851994243</v>
      </c>
      <c r="U11">
        <v>763.740094575076</v>
      </c>
    </row>
    <row r="12" spans="1:21" x14ac:dyDescent="0.3">
      <c r="A12">
        <v>0</v>
      </c>
      <c r="B12">
        <v>1</v>
      </c>
      <c r="C12">
        <v>10</v>
      </c>
      <c r="D12">
        <v>51.995943984753978</v>
      </c>
      <c r="E12">
        <v>572.95274158109169</v>
      </c>
      <c r="F12">
        <v>201.69687463021091</v>
      </c>
      <c r="G12">
        <v>57.941511035164382</v>
      </c>
      <c r="H12">
        <v>34.475446010616309</v>
      </c>
      <c r="I12">
        <v>7.5830429542193167</v>
      </c>
      <c r="J12">
        <v>295.0266383144031</v>
      </c>
      <c r="K12">
        <v>295.04414320779188</v>
      </c>
      <c r="L12">
        <v>0.99964782313262057</v>
      </c>
      <c r="M12">
        <v>3.5217686737942788E-4</v>
      </c>
      <c r="N12">
        <v>0.89759228325135609</v>
      </c>
      <c r="O12">
        <v>-75.739344552805633</v>
      </c>
      <c r="P12">
        <v>113.6721960054419</v>
      </c>
      <c r="Q12">
        <v>37.932851452636271</v>
      </c>
      <c r="R12">
        <v>88.097213798918133</v>
      </c>
      <c r="S12">
        <v>339.26618491586123</v>
      </c>
      <c r="T12">
        <v>403.6893272489142</v>
      </c>
      <c r="U12">
        <v>444.8873856820519</v>
      </c>
    </row>
    <row r="13" spans="1:21" x14ac:dyDescent="0.3">
      <c r="A13">
        <v>1</v>
      </c>
      <c r="B13">
        <v>1</v>
      </c>
      <c r="C13">
        <v>10</v>
      </c>
      <c r="D13">
        <v>51.772683106294259</v>
      </c>
      <c r="E13">
        <v>564.65942888706024</v>
      </c>
      <c r="F13">
        <v>197.14300867018665</v>
      </c>
      <c r="G13">
        <v>58.098324539542631</v>
      </c>
      <c r="H13">
        <v>33.924632905538459</v>
      </c>
      <c r="I13">
        <v>7.9770425549189072</v>
      </c>
      <c r="J13">
        <v>355.56900937831523</v>
      </c>
      <c r="K13">
        <v>355.58152959378072</v>
      </c>
      <c r="L13">
        <v>0.77696368489163548</v>
      </c>
      <c r="M13">
        <v>0.22303631510836452</v>
      </c>
      <c r="N13">
        <v>0.91022494980113033</v>
      </c>
      <c r="O13">
        <v>-75.72681903565902</v>
      </c>
      <c r="P13">
        <v>114.71519454070108</v>
      </c>
      <c r="Q13">
        <v>38.988375505042065</v>
      </c>
      <c r="R13">
        <v>90.126600779796576</v>
      </c>
      <c r="S13">
        <v>413.86172121308118</v>
      </c>
      <c r="T13">
        <v>526.86066421545183</v>
      </c>
      <c r="U13">
        <v>608.07351869433296</v>
      </c>
    </row>
    <row r="14" spans="1:21" x14ac:dyDescent="0.3">
      <c r="A14">
        <v>2</v>
      </c>
      <c r="B14">
        <v>1</v>
      </c>
      <c r="C14">
        <v>10</v>
      </c>
      <c r="D14">
        <v>52.166960415605651</v>
      </c>
      <c r="E14">
        <v>573.3518161284394</v>
      </c>
      <c r="F14">
        <v>205.41014828200787</v>
      </c>
      <c r="G14">
        <v>61.250894577274615</v>
      </c>
      <c r="H14">
        <v>30.988481430741803</v>
      </c>
      <c r="I14">
        <v>7.7606239919835796</v>
      </c>
      <c r="J14">
        <v>353.9933842119176</v>
      </c>
      <c r="K14">
        <v>354.02910049395763</v>
      </c>
      <c r="L14">
        <v>0.21607454097998668</v>
      </c>
      <c r="M14">
        <v>0.78392545902001332</v>
      </c>
      <c r="N14">
        <v>0.9097970767962491</v>
      </c>
      <c r="O14">
        <v>-75.726817196502196</v>
      </c>
      <c r="P14">
        <v>114.81125869304719</v>
      </c>
      <c r="Q14">
        <v>39.084441496544997</v>
      </c>
      <c r="R14">
        <v>95.162816525211568</v>
      </c>
      <c r="S14">
        <v>414.80063808653722</v>
      </c>
      <c r="T14">
        <v>529.42873029937255</v>
      </c>
      <c r="U14">
        <v>615.63409556269471</v>
      </c>
    </row>
    <row r="15" spans="1:21" x14ac:dyDescent="0.3">
      <c r="A15">
        <v>3</v>
      </c>
      <c r="B15">
        <v>1</v>
      </c>
      <c r="C15">
        <v>10</v>
      </c>
      <c r="D15">
        <v>52.035436792878009</v>
      </c>
      <c r="E15">
        <v>580.45129148716194</v>
      </c>
      <c r="F15">
        <v>212.60241679301907</v>
      </c>
      <c r="G15">
        <v>59.402311958162045</v>
      </c>
      <c r="H15">
        <v>32.700384622767977</v>
      </c>
      <c r="I15">
        <v>7.8973034190699911</v>
      </c>
      <c r="J15">
        <v>423.21811749318442</v>
      </c>
      <c r="K15">
        <v>423.22621031706586</v>
      </c>
      <c r="L15">
        <v>0.88044299426195993</v>
      </c>
      <c r="M15">
        <v>0.11955700573804011</v>
      </c>
      <c r="N15">
        <v>0.90975989153010983</v>
      </c>
      <c r="O15">
        <v>-75.726819035785368</v>
      </c>
      <c r="P15">
        <v>114.84693854958218</v>
      </c>
      <c r="Q15">
        <v>39.120119513796801</v>
      </c>
      <c r="R15">
        <v>90.004552677044074</v>
      </c>
      <c r="S15">
        <v>464.73753987890268</v>
      </c>
      <c r="T15">
        <v>644.17425878285212</v>
      </c>
      <c r="U15">
        <v>739.16884492881218</v>
      </c>
    </row>
    <row r="16" spans="1:21" x14ac:dyDescent="0.3">
      <c r="A16">
        <v>4</v>
      </c>
      <c r="B16">
        <v>1</v>
      </c>
      <c r="C16">
        <v>10</v>
      </c>
      <c r="D16">
        <v>52.128073560198125</v>
      </c>
      <c r="E16">
        <v>578.23680314052581</v>
      </c>
      <c r="F16">
        <v>215.37202275921481</v>
      </c>
      <c r="G16">
        <v>59.484718295013053</v>
      </c>
      <c r="H16">
        <v>32.622950976566749</v>
      </c>
      <c r="I16">
        <v>7.8923307284201796</v>
      </c>
      <c r="J16">
        <v>425.45952330704256</v>
      </c>
      <c r="K16">
        <v>425.45954001626575</v>
      </c>
      <c r="L16">
        <v>0.88191385112192822</v>
      </c>
      <c r="M16">
        <v>0.11808614887807183</v>
      </c>
      <c r="N16">
        <v>0.91066043794672391</v>
      </c>
      <c r="O16">
        <v>-75.726817196630876</v>
      </c>
      <c r="P16">
        <v>114.83795090358369</v>
      </c>
      <c r="Q16">
        <v>39.111133706952813</v>
      </c>
      <c r="R16">
        <v>94.625196316504898</v>
      </c>
      <c r="S16">
        <v>464.87676712195571</v>
      </c>
      <c r="T16">
        <v>647.32050700037053</v>
      </c>
      <c r="U16">
        <v>748.97339891578849</v>
      </c>
    </row>
    <row r="19" spans="3:17" x14ac:dyDescent="0.3">
      <c r="D19" s="1" t="s">
        <v>38</v>
      </c>
      <c r="N19" s="1" t="s">
        <v>37</v>
      </c>
    </row>
    <row r="20" spans="3:17" x14ac:dyDescent="0.3">
      <c r="C20" s="1" t="s">
        <v>29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L20" t="s">
        <v>16</v>
      </c>
      <c r="M20" t="s">
        <v>17</v>
      </c>
      <c r="N20" t="s">
        <v>18</v>
      </c>
      <c r="O20" t="s">
        <v>19</v>
      </c>
      <c r="P20" t="s">
        <v>20</v>
      </c>
      <c r="Q20" s="4" t="s">
        <v>29</v>
      </c>
    </row>
    <row r="21" spans="3:17" x14ac:dyDescent="0.3">
      <c r="C21" s="3">
        <v>0</v>
      </c>
      <c r="D21" s="6">
        <f>((D7-D2)/D2)*100</f>
        <v>-0.76363978862077797</v>
      </c>
      <c r="E21" s="6">
        <f t="shared" ref="E21:I25" si="0">((E7-E2)/E2)*100</f>
        <v>0.495850035018988</v>
      </c>
      <c r="F21" s="6">
        <f t="shared" si="0"/>
        <v>-2.1044079631056523</v>
      </c>
      <c r="G21" s="6">
        <f t="shared" si="0"/>
        <v>-3.5080079674051095</v>
      </c>
      <c r="H21" s="6">
        <f t="shared" si="0"/>
        <v>5.9985705534354379</v>
      </c>
      <c r="I21" s="6">
        <f t="shared" si="0"/>
        <v>2.1460372643853405</v>
      </c>
      <c r="L21" s="6">
        <f>((Q7-Q2)/Q2)*100</f>
        <v>-0.54787909518548794</v>
      </c>
      <c r="M21" s="6">
        <f t="shared" ref="M21:P25" si="1">((R7-R2)/R2)*100</f>
        <v>-19.893859982738444</v>
      </c>
      <c r="N21" s="6">
        <f t="shared" si="1"/>
        <v>0.49180401722920247</v>
      </c>
      <c r="O21" s="6">
        <f t="shared" si="1"/>
        <v>0.32786421304949659</v>
      </c>
      <c r="P21" s="6">
        <f t="shared" si="1"/>
        <v>0.23158192325786012</v>
      </c>
      <c r="Q21" s="5">
        <v>0</v>
      </c>
    </row>
    <row r="22" spans="3:17" x14ac:dyDescent="0.3">
      <c r="C22" s="3">
        <v>1</v>
      </c>
      <c r="D22" s="6">
        <f>((D8-D3)/D3)*100</f>
        <v>-0.60119148632184771</v>
      </c>
      <c r="E22" s="6">
        <f t="shared" si="0"/>
        <v>0.85767294095237478</v>
      </c>
      <c r="F22" s="6">
        <f t="shared" si="0"/>
        <v>-2.7796189153583577</v>
      </c>
      <c r="G22" s="6">
        <f t="shared" si="0"/>
        <v>-4.2905537284745598</v>
      </c>
      <c r="H22" s="6">
        <f t="shared" si="0"/>
        <v>9.3311938553867684</v>
      </c>
      <c r="I22" s="6">
        <f t="shared" si="0"/>
        <v>1.4625744701514181</v>
      </c>
      <c r="L22" s="6">
        <f t="shared" ref="L22:L25" si="2">((Q8-Q3)/Q3)*100</f>
        <v>-0.41806534226010794</v>
      </c>
      <c r="M22" s="6">
        <f t="shared" si="1"/>
        <v>-24.672375843413789</v>
      </c>
      <c r="N22" s="6">
        <f t="shared" si="1"/>
        <v>0.12069769297273836</v>
      </c>
      <c r="O22" s="6">
        <f t="shared" si="1"/>
        <v>-0.10345406557203068</v>
      </c>
      <c r="P22" s="6">
        <f t="shared" si="1"/>
        <v>-0.5337577622985451</v>
      </c>
      <c r="Q22" s="5">
        <v>1</v>
      </c>
    </row>
    <row r="23" spans="3:17" x14ac:dyDescent="0.3">
      <c r="C23" s="3">
        <v>2</v>
      </c>
      <c r="D23" s="6">
        <f>((D9-D4)/D4)*100</f>
        <v>-0.58512993349479914</v>
      </c>
      <c r="E23" s="6">
        <f t="shared" si="0"/>
        <v>1.0067952957429949</v>
      </c>
      <c r="F23" s="6">
        <f t="shared" si="0"/>
        <v>-2.8958496004800551</v>
      </c>
      <c r="G23" s="6">
        <f t="shared" si="0"/>
        <v>-4.5521534825670686</v>
      </c>
      <c r="H23" s="6">
        <f t="shared" si="0"/>
        <v>10.091496194962431</v>
      </c>
      <c r="I23" s="6">
        <f t="shared" si="0"/>
        <v>1.4344556184609212</v>
      </c>
      <c r="L23" s="6">
        <f t="shared" si="2"/>
        <v>-0.31036053243727668</v>
      </c>
      <c r="M23" s="6">
        <f t="shared" si="1"/>
        <v>-21.980200856588972</v>
      </c>
      <c r="N23" s="6">
        <f t="shared" si="1"/>
        <v>0.19504151433739092</v>
      </c>
      <c r="O23" s="6">
        <f t="shared" si="1"/>
        <v>-0.26688045966750895</v>
      </c>
      <c r="P23" s="6">
        <f t="shared" si="1"/>
        <v>-2.2131536435820371</v>
      </c>
      <c r="Q23" s="5">
        <v>2</v>
      </c>
    </row>
    <row r="24" spans="3:17" x14ac:dyDescent="0.3">
      <c r="C24" s="3">
        <v>3</v>
      </c>
      <c r="D24" s="6">
        <f>((D10-D5)/D5)*100</f>
        <v>-0.53572223076350378</v>
      </c>
      <c r="E24" s="6">
        <f t="shared" si="0"/>
        <v>0.83468885260842973</v>
      </c>
      <c r="F24" s="6">
        <f t="shared" si="0"/>
        <v>-2.4468890688500133</v>
      </c>
      <c r="G24" s="6">
        <f t="shared" si="0"/>
        <v>-5.0217624656728894</v>
      </c>
      <c r="H24" s="6">
        <f t="shared" si="0"/>
        <v>12.157483111134979</v>
      </c>
      <c r="I24" s="6">
        <f t="shared" si="0"/>
        <v>1.041962120923047</v>
      </c>
      <c r="L24" s="6">
        <f t="shared" si="2"/>
        <v>0.78287357318097894</v>
      </c>
      <c r="M24" s="6">
        <f t="shared" si="1"/>
        <v>-7.5284739399504721</v>
      </c>
      <c r="N24" s="6">
        <f t="shared" si="1"/>
        <v>1.6047601189005268E-2</v>
      </c>
      <c r="O24" s="6">
        <f t="shared" si="1"/>
        <v>-0.67079841635980997</v>
      </c>
      <c r="P24" s="6">
        <f t="shared" si="1"/>
        <v>-1.0478835423643238</v>
      </c>
      <c r="Q24" s="5">
        <v>3</v>
      </c>
    </row>
    <row r="25" spans="3:17" x14ac:dyDescent="0.3">
      <c r="C25" s="3">
        <v>4</v>
      </c>
      <c r="D25" s="6">
        <f>((D11-D6)/D6)*100</f>
        <v>-0.70407234238899929</v>
      </c>
      <c r="E25" s="6">
        <f t="shared" si="0"/>
        <v>0.74836721307676202</v>
      </c>
      <c r="F25" s="6">
        <f t="shared" si="0"/>
        <v>-3.0457916854406393</v>
      </c>
      <c r="G25" s="6">
        <f t="shared" si="0"/>
        <v>-5.4888312747240056</v>
      </c>
      <c r="H25" s="6">
        <f t="shared" si="0"/>
        <v>13.698703961834729</v>
      </c>
      <c r="I25" s="6">
        <f>((I11-I6)/I6)*100</f>
        <v>0.88982069716032863</v>
      </c>
      <c r="L25" s="6">
        <f t="shared" si="2"/>
        <v>1.3672815824881919</v>
      </c>
      <c r="M25" s="6">
        <f t="shared" si="1"/>
        <v>-3.5292439842012286</v>
      </c>
      <c r="N25" s="6">
        <f t="shared" si="1"/>
        <v>0.1616370511587574</v>
      </c>
      <c r="O25" s="6">
        <f t="shared" si="1"/>
        <v>-0.8502144740739993</v>
      </c>
      <c r="P25" s="6">
        <f t="shared" si="1"/>
        <v>-3.0197801066264631</v>
      </c>
      <c r="Q25" s="5">
        <v>4</v>
      </c>
    </row>
    <row r="26" spans="3:17" x14ac:dyDescent="0.3">
      <c r="Q26" s="5"/>
    </row>
    <row r="27" spans="3:17" x14ac:dyDescent="0.3">
      <c r="Q27" s="5"/>
    </row>
    <row r="28" spans="3:17" x14ac:dyDescent="0.3">
      <c r="D28" s="1" t="s">
        <v>39</v>
      </c>
      <c r="N28" s="1" t="s">
        <v>36</v>
      </c>
      <c r="Q28" s="5"/>
    </row>
    <row r="29" spans="3:17" x14ac:dyDescent="0.3">
      <c r="C29" s="1" t="s">
        <v>29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L29" t="s">
        <v>16</v>
      </c>
      <c r="M29" t="s">
        <v>17</v>
      </c>
      <c r="N29" t="s">
        <v>18</v>
      </c>
      <c r="O29" t="s">
        <v>19</v>
      </c>
      <c r="P29" t="s">
        <v>20</v>
      </c>
      <c r="Q29" s="4" t="s">
        <v>29</v>
      </c>
    </row>
    <row r="30" spans="3:17" x14ac:dyDescent="0.3">
      <c r="C30" s="3">
        <v>0</v>
      </c>
      <c r="D30" s="6">
        <f>((D12-D2)/D2)*100</f>
        <v>-1.2370253208974746</v>
      </c>
      <c r="E30" s="6">
        <f t="shared" ref="E30:I30" si="3">((E12-E2)/E2)*100</f>
        <v>1.6078390638274334</v>
      </c>
      <c r="F30" s="6">
        <f t="shared" si="3"/>
        <v>-3.6017889637008542</v>
      </c>
      <c r="G30" s="6">
        <f t="shared" si="3"/>
        <v>-3.5747333463813291</v>
      </c>
      <c r="H30" s="6">
        <f t="shared" si="3"/>
        <v>6.1308590525214868</v>
      </c>
      <c r="I30" s="6">
        <f t="shared" si="3"/>
        <v>2.1072912866079734</v>
      </c>
      <c r="L30" s="6">
        <f>((Q12-Q2)/Q2)*100</f>
        <v>9.2452727849505006E-2</v>
      </c>
      <c r="M30" s="6">
        <f t="shared" ref="M30:P34" si="4">((R12-R2)/R2)*100</f>
        <v>-34.056817960828482</v>
      </c>
      <c r="N30" s="6">
        <f t="shared" si="4"/>
        <v>0.79109878040303605</v>
      </c>
      <c r="O30" s="6">
        <f t="shared" si="4"/>
        <v>0.49598021918930268</v>
      </c>
      <c r="P30" s="6">
        <f t="shared" si="4"/>
        <v>0.27117181308704025</v>
      </c>
      <c r="Q30" s="5">
        <v>0</v>
      </c>
    </row>
    <row r="31" spans="3:17" x14ac:dyDescent="0.3">
      <c r="C31" s="3">
        <v>1</v>
      </c>
      <c r="D31" s="6">
        <f t="shared" ref="D31:I34" si="5">((D13-D3)/D3)*100</f>
        <v>-1.5375879816927536</v>
      </c>
      <c r="E31" s="6">
        <f t="shared" si="5"/>
        <v>0.92549784777937205</v>
      </c>
      <c r="F31" s="6">
        <f t="shared" si="5"/>
        <v>-5.9902779627493112</v>
      </c>
      <c r="G31" s="6">
        <f t="shared" si="5"/>
        <v>-9.3427345898289342</v>
      </c>
      <c r="H31" s="6">
        <f t="shared" si="5"/>
        <v>20.007734737440703</v>
      </c>
      <c r="I31" s="6">
        <f t="shared" si="5"/>
        <v>4.3348685505549005</v>
      </c>
      <c r="L31" s="6">
        <f t="shared" ref="L31:L33" si="6">((Q13-Q3)/Q3)*100</f>
        <v>0.45490082923784758</v>
      </c>
      <c r="M31" s="6">
        <f t="shared" si="4"/>
        <v>-31.076653488275085</v>
      </c>
      <c r="N31" s="6">
        <f t="shared" si="4"/>
        <v>0.23374786388231347</v>
      </c>
      <c r="O31" s="6">
        <f t="shared" si="4"/>
        <v>-0.16488840838748267</v>
      </c>
      <c r="P31" s="6">
        <f t="shared" si="4"/>
        <v>-0.87201665081668089</v>
      </c>
      <c r="Q31" s="5">
        <v>1</v>
      </c>
    </row>
    <row r="32" spans="3:17" x14ac:dyDescent="0.3">
      <c r="C32" s="3">
        <v>2</v>
      </c>
      <c r="D32" s="6">
        <f t="shared" si="5"/>
        <v>-1.0155838019248262</v>
      </c>
      <c r="E32" s="6">
        <f t="shared" si="5"/>
        <v>3.4859425556230708</v>
      </c>
      <c r="F32" s="6">
        <f t="shared" si="5"/>
        <v>-3.2761210846826025</v>
      </c>
      <c r="G32" s="6">
        <f t="shared" si="5"/>
        <v>-4.8787549455797778</v>
      </c>
      <c r="H32" s="6">
        <f t="shared" si="5"/>
        <v>10.833321348322956</v>
      </c>
      <c r="I32" s="6">
        <f t="shared" si="5"/>
        <v>1.4723190116048386</v>
      </c>
      <c r="L32" s="6">
        <f t="shared" si="6"/>
        <v>0.36310218839060526</v>
      </c>
      <c r="M32" s="6">
        <f t="shared" si="4"/>
        <v>-30.649651153189193</v>
      </c>
      <c r="N32" s="6">
        <f t="shared" si="4"/>
        <v>0.63877074833823788</v>
      </c>
      <c r="O32" s="6">
        <f t="shared" si="4"/>
        <v>-0.17671598772073646</v>
      </c>
      <c r="P32" s="6">
        <f t="shared" si="4"/>
        <v>-2.9144279194514584</v>
      </c>
      <c r="Q32" s="5">
        <v>2</v>
      </c>
    </row>
    <row r="33" spans="3:17" x14ac:dyDescent="0.3">
      <c r="C33" s="3">
        <v>3</v>
      </c>
      <c r="D33" s="6">
        <f t="shared" si="5"/>
        <v>-1.3109359991145</v>
      </c>
      <c r="E33" s="6">
        <f t="shared" si="5"/>
        <v>1.062351222025449</v>
      </c>
      <c r="F33" s="6">
        <f t="shared" si="5"/>
        <v>-6.377577654133221</v>
      </c>
      <c r="G33" s="6">
        <f t="shared" si="5"/>
        <v>-9.7927154484313306</v>
      </c>
      <c r="H33" s="6">
        <f t="shared" si="5"/>
        <v>23.170111570803691</v>
      </c>
      <c r="I33" s="6">
        <f t="shared" si="5"/>
        <v>3.9100324613847368</v>
      </c>
      <c r="L33" s="6">
        <f t="shared" si="6"/>
        <v>0.77626806288272376</v>
      </c>
      <c r="M33" s="6">
        <f t="shared" si="4"/>
        <v>-27.429572135126051</v>
      </c>
      <c r="N33" s="6">
        <f t="shared" si="4"/>
        <v>-0.24814059897233842</v>
      </c>
      <c r="O33" s="6">
        <f t="shared" si="4"/>
        <v>-1.0637131257565697</v>
      </c>
      <c r="P33" s="6">
        <f t="shared" si="4"/>
        <v>-1.6574922030194967</v>
      </c>
      <c r="Q33" s="5">
        <v>3</v>
      </c>
    </row>
    <row r="34" spans="3:17" x14ac:dyDescent="0.3">
      <c r="C34" s="3">
        <v>4</v>
      </c>
      <c r="D34" s="6">
        <f t="shared" si="5"/>
        <v>-1.6721676731142887</v>
      </c>
      <c r="E34" s="6">
        <f t="shared" si="5"/>
        <v>0.8612726700530019</v>
      </c>
      <c r="F34" s="6">
        <f t="shared" si="5"/>
        <v>-7.370679552193331</v>
      </c>
      <c r="G34" s="6">
        <f t="shared" si="5"/>
        <v>-10.303781334691326</v>
      </c>
      <c r="H34" s="6">
        <f t="shared" si="5"/>
        <v>25.094909748289041</v>
      </c>
      <c r="I34" s="6">
        <f t="shared" si="5"/>
        <v>3.7991683454354783</v>
      </c>
      <c r="L34" s="6">
        <f>((Q16-Q6)/Q6)*100</f>
        <v>0.6340277242419452</v>
      </c>
      <c r="M34" s="6">
        <f t="shared" si="4"/>
        <v>-27.166504205061763</v>
      </c>
      <c r="N34" s="6">
        <f t="shared" si="4"/>
        <v>-0.19111450206035968</v>
      </c>
      <c r="O34" s="6">
        <f t="shared" si="4"/>
        <v>-1.8712789322362959</v>
      </c>
      <c r="P34" s="6">
        <f t="shared" si="4"/>
        <v>-4.8948648406981965</v>
      </c>
      <c r="Q34" s="5">
        <v>4</v>
      </c>
    </row>
    <row r="36" spans="3:17" ht="15" thickBot="1" x14ac:dyDescent="0.35"/>
    <row r="37" spans="3:17" x14ac:dyDescent="0.3">
      <c r="D37" s="10" t="s">
        <v>0</v>
      </c>
      <c r="E37" s="11"/>
    </row>
    <row r="38" spans="3:17" x14ac:dyDescent="0.3">
      <c r="D38" s="8" t="s">
        <v>24</v>
      </c>
      <c r="E38" s="9"/>
    </row>
    <row r="39" spans="3:17" x14ac:dyDescent="0.3">
      <c r="D39" s="8" t="s">
        <v>25</v>
      </c>
      <c r="E39" s="9"/>
    </row>
    <row r="40" spans="3:17" x14ac:dyDescent="0.3">
      <c r="D40" s="8" t="s">
        <v>26</v>
      </c>
      <c r="E40" s="9"/>
    </row>
    <row r="41" spans="3:17" x14ac:dyDescent="0.3">
      <c r="D41" s="8" t="s">
        <v>27</v>
      </c>
      <c r="E41" s="9"/>
    </row>
    <row r="42" spans="3:17" ht="15" thickBot="1" x14ac:dyDescent="0.35">
      <c r="D42" s="12" t="s">
        <v>28</v>
      </c>
      <c r="E42" s="13"/>
    </row>
  </sheetData>
  <mergeCells count="6">
    <mergeCell ref="D42:E42"/>
    <mergeCell ref="D37:E37"/>
    <mergeCell ref="D38:E38"/>
    <mergeCell ref="D39:E39"/>
    <mergeCell ref="D40:E40"/>
    <mergeCell ref="D41:E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41616-14C9-48F4-8CBA-DB0A8E919893}">
  <dimension ref="A1:C6"/>
  <sheetViews>
    <sheetView workbookViewId="0">
      <selection activeCell="C18" sqref="C18"/>
    </sheetView>
  </sheetViews>
  <sheetFormatPr defaultRowHeight="14.4" x14ac:dyDescent="0.3"/>
  <cols>
    <col min="1" max="1" width="17.88671875" bestFit="1" customWidth="1"/>
    <col min="2" max="2" width="29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24</v>
      </c>
      <c r="B2" t="s">
        <v>21</v>
      </c>
    </row>
    <row r="3" spans="1:3" x14ac:dyDescent="0.3">
      <c r="A3" s="2" t="s">
        <v>25</v>
      </c>
      <c r="B3" t="s">
        <v>30</v>
      </c>
      <c r="C3" t="s">
        <v>22</v>
      </c>
    </row>
    <row r="4" spans="1:3" x14ac:dyDescent="0.3">
      <c r="A4" s="2" t="s">
        <v>26</v>
      </c>
      <c r="B4" t="s">
        <v>31</v>
      </c>
      <c r="C4" t="s">
        <v>23</v>
      </c>
    </row>
    <row r="5" spans="1:3" x14ac:dyDescent="0.3">
      <c r="A5" s="2" t="s">
        <v>27</v>
      </c>
    </row>
    <row r="6" spans="1:3" x14ac:dyDescent="0.3">
      <c r="A6" s="2" t="s">
        <v>28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Nifedipine</vt:lpstr>
      <vt:lpstr>Mexiletine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Huynh, Trung</cp:lastModifiedBy>
  <dcterms:modified xsi:type="dcterms:W3CDTF">2026-05-26T18:08:07Z</dcterms:modified>
</cp:coreProperties>
</file>
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Other projects/Multichannel KCNH2/Kernik_Baseline_ICaPersistent_Mod_Huynh/"/>
    </mc:Choice>
  </mc:AlternateContent>
  <xr:revisionPtr revIDLastSave="527" documentId="8_{CE4AE279-C1CE-4234-9369-657D318D31E7}" xr6:coauthVersionLast="47" xr6:coauthVersionMax="47" xr10:uidLastSave="{8202CD36-8E82-4927-8E0E-C573089E7BB7}"/>
  <bookViews>
    <workbookView xWindow="-16545" yWindow="1620" windowWidth="16530" windowHeight="15585" xr2:uid="{EA7A77E8-765E-4BB5-8CB7-02FE196ADB8F}"/>
  </bookViews>
  <sheets>
    <sheet name="Original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M33" i="1"/>
  <c r="N33" i="1"/>
  <c r="O33" i="1"/>
  <c r="K33" i="1"/>
  <c r="C14" i="2"/>
  <c r="B9" i="2"/>
  <c r="B8" i="2"/>
  <c r="D5" i="2"/>
  <c r="D4" i="2"/>
  <c r="X36" i="1"/>
  <c r="X35" i="1"/>
  <c r="X34" i="1"/>
  <c r="X33" i="1"/>
  <c r="G33" i="1"/>
  <c r="X32" i="1"/>
  <c r="P32" i="1"/>
  <c r="G32" i="1"/>
  <c r="X31" i="1"/>
  <c r="P31" i="1"/>
  <c r="G31" i="1"/>
  <c r="X30" i="1"/>
  <c r="P30" i="1"/>
  <c r="G30" i="1"/>
  <c r="X15" i="1"/>
  <c r="X24" i="1"/>
  <c r="X23" i="1"/>
  <c r="X19" i="1"/>
  <c r="X18" i="1"/>
  <c r="G18" i="1"/>
  <c r="X17" i="1"/>
  <c r="P17" i="1"/>
  <c r="G17" i="1"/>
  <c r="X16" i="1"/>
  <c r="P16" i="1"/>
  <c r="G16" i="1"/>
  <c r="P15" i="1"/>
  <c r="G15" i="1"/>
  <c r="X5" i="1"/>
  <c r="X6" i="1"/>
  <c r="X7" i="1"/>
  <c r="X8" i="1"/>
  <c r="X9" i="1"/>
  <c r="X4" i="1"/>
  <c r="P5" i="1"/>
  <c r="P6" i="1"/>
  <c r="P4" i="1"/>
  <c r="G5" i="1"/>
  <c r="G6" i="1"/>
  <c r="G7" i="1"/>
  <c r="G4" i="1"/>
</calcChain>
</file>

<file path=xl/sharedStrings.xml><?xml version="1.0" encoding="utf-8"?>
<sst xmlns="http://schemas.openxmlformats.org/spreadsheetml/2006/main" count="125" uniqueCount="41">
  <si>
    <t>Table 1: Calcium Transient Morphology</t>
  </si>
  <si>
    <t>Peak [Ca²⁺] (nM)</t>
  </si>
  <si>
    <t>Baseline</t>
  </si>
  <si>
    <t>Diastolic [Ca²⁺] (nM)</t>
  </si>
  <si>
    <t>Time to Peak (ms)</t>
  </si>
  <si>
    <t>Tau Decay (ms)</t>
  </si>
  <si>
    <t>Table 2: % Contribution of Calcium Flux</t>
  </si>
  <si>
    <t>SERCA</t>
  </si>
  <si>
    <t>NCX</t>
  </si>
  <si>
    <t>Non-NCX (SL-Pump)</t>
  </si>
  <si>
    <t>Table 3: Action Potential Morphology</t>
  </si>
  <si>
    <t>Resting Membrane Potential (mV)</t>
  </si>
  <si>
    <t>Amplitude (mV)</t>
  </si>
  <si>
    <t>Vmax (mV)</t>
  </si>
  <si>
    <t>dV/dt max (V/s)</t>
  </si>
  <si>
    <t>APD30 (ms)</t>
  </si>
  <si>
    <t>APD50 (ms)</t>
  </si>
  <si>
    <t>APD90 (ms)</t>
  </si>
  <si>
    <t>Model 1 (Ikr)</t>
  </si>
  <si>
    <t>Model 2 (Ikr+Ina,L)</t>
  </si>
  <si>
    <t>Model 3 (Ikr+Ica,P)</t>
  </si>
  <si>
    <t>Model 4 (Ikr+Ina+Ica)</t>
  </si>
  <si>
    <t>Fold Change M4:Base)</t>
  </si>
  <si>
    <t>1.05 CaL</t>
  </si>
  <si>
    <t>2.29 CaL</t>
  </si>
  <si>
    <t>Pacing ON. Mature Phenotype (g_Na = 1.45, g_K1 = 2) with g_K1 increased from 2 to 5. Modified BOTH  I-Ca,L,P and I-Na,L</t>
  </si>
  <si>
    <t>Table 1: Action Potential Morphology</t>
  </si>
  <si>
    <t>Table 2: Calcium Transient Morphology</t>
  </si>
  <si>
    <t>Table 3: % Contribution of Calcium Flux</t>
  </si>
  <si>
    <t>IC</t>
  </si>
  <si>
    <t>Variant, In Vitro</t>
  </si>
  <si>
    <t>sodium late %</t>
  </si>
  <si>
    <t>calcium persistent %</t>
  </si>
  <si>
    <t>Fold Change (Variant:IC)</t>
  </si>
  <si>
    <t>Decimal IC</t>
  </si>
  <si>
    <t>sum</t>
  </si>
  <si>
    <t>Fold Change</t>
  </si>
  <si>
    <t>Experimental (G604S:Control)</t>
  </si>
  <si>
    <t>n/a</t>
  </si>
  <si>
    <t xml:space="preserve"> Model 4:Baseline</t>
  </si>
  <si>
    <t xml:space="preserve"> Fold Change (Model 4:Baseline)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</si>
</sst>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204267</xdr:colOff>
      <xdr:row>34</xdr:row>
      <xdr:rowOff>164564</xdr:rowOff>
    </xdr:from>
    <xdr:to>
      <xdr:col>4</xdr:col>
      <xdr:colOff>892254</xdr:colOff>
      <xdr:row>40</xdr:row>
      <xdr:rowOff>92594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07A0C4-358B-0A94-BF27-84956D4AC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67" y="6260564"/>
          <a:ext cx="4640078" cy="1011415"/>
        </a:xfrm>
        <a:prstGeom prst="rect">
          <a:avLst/>
        </a:prstGeom>
      </xdr:spPr>
    </xdr:pic>
    <xdr:clientData/>
  </xdr:twoCellAnchor>
  <xdr:twoCellAnchor editAs="oneCell">
    <xdr:from>
      <xdr:col>4</xdr:col>
      <xdr:colOff>1128272</xdr:colOff>
      <xdr:row>34</xdr:row>
      <xdr:rowOff>125505</xdr:rowOff>
    </xdr:from>
    <xdr:to>
      <xdr:col>9</xdr:col>
      <xdr:colOff>1161516</xdr:colOff>
      <xdr:row>73</xdr:row>
      <xdr:rowOff>54863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DA8C20-BA20-6C2A-6C9D-9E4E53B64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9786" y="6417448"/>
          <a:ext cx="6614475" cy="7131346"/>
        </a:xfrm>
        <a:prstGeom prst="rect">
          <a:avLst/>
        </a:prstGeom>
      </xdr:spPr>
    </xdr:pic>
    <xdr:clientData/>
  </xdr:twoCellAnchor>
  <xdr:twoCellAnchor>
    <xdr:from>
      <xdr:col>0</xdr:col>
      <xdr:colOff>936171</xdr:colOff>
      <xdr:row>52</xdr:row>
      <xdr:rowOff>43542</xdr:rowOff>
    </xdr:from>
    <xdr:to>
      <xdr:col>3</xdr:col>
      <xdr:colOff>903514</xdr:colOff>
      <xdr:row>64</xdr:row>
      <xdr:rowOff>141513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335BC8-901C-E65C-A2BD-6D96A9F38AD8}"/>
            </a:ext>
          </a:extLst>
        </xdr:cNvPr>
        <xdr:cNvSpPr txBox="1"/>
      </xdr:nvSpPr>
      <xdr:spPr>
        <a:xfrm>
          <a:off x="936171" y="9666513"/>
          <a:ext cx="2743200" cy="23186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Does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late inward sodium current of 0.26% (normalized to sodium peak current and from -1.3±0.4 pA/pF)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measured via patch-clamp translate to the I-Na channel being persistently open for 0.26% of the total I-Na current?</a:t>
          </a:r>
          <a:endParaRPr lang="en-US" sz="1100"/>
        </a:p>
      </xdr:txBody>
    </xdr:sp>
    <xdr:clientData/>
  </xdr:twoCellAnchor>
  <xdr:twoCellAnchor editAs="oneCell">
    <xdr:from>
      <xdr:col>11</xdr:col>
      <xdr:colOff>226695</xdr:colOff>
      <xdr:row>34</xdr:row>
      <xdr:rowOff>169545</xdr:rowOff>
    </xdr:from>
    <xdr:to>
      <xdr:col>15</xdr:col>
      <xdr:colOff>967740</xdr:colOff>
      <xdr:row>56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80BC9C-7090-EE37-C619-B36759146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6245" y="6322695"/>
          <a:ext cx="5309235" cy="3950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0AEB-D5BD-4E25-8FCA-844949DF0C44}">
  <dimension ref="A1:Y36"/>
  <sheetViews>
    <sheetView tabSelected="1" topLeftCell="H1" zoomScale="70" zoomScaleNormal="70" workbookViewId="0">
      <selection activeCell="Q41" sqref="Q41"/>
    </sheetView>
  </sheetViews>
  <sheetFormatPr defaultRowHeight="14.4" x14ac:dyDescent="0.3"/>
  <cols>
    <col min="1" max="1" width="19.88671875" customWidth="1"/>
    <col min="3" max="3" width="11.6640625" bestFit="1" customWidth="1"/>
    <col min="4" max="4" width="17.109375" bestFit="1" customWidth="1"/>
    <col min="5" max="5" width="17.21875" bestFit="1" customWidth="1"/>
    <col min="6" max="6" width="20.6640625" bestFit="1" customWidth="1"/>
    <col min="7" max="7" width="23.109375" bestFit="1" customWidth="1"/>
    <col min="8" max="8" width="25.6640625" bestFit="1" customWidth="1"/>
    <col min="10" max="10" width="34" bestFit="1" customWidth="1"/>
    <col min="11" max="11" width="8.33203125" bestFit="1" customWidth="1"/>
    <col min="12" max="12" width="11.6640625" bestFit="1" customWidth="1"/>
    <col min="13" max="13" width="17.109375" bestFit="1" customWidth="1"/>
    <col min="14" max="14" width="17.21875" bestFit="1" customWidth="1"/>
    <col min="15" max="15" width="20.6640625" bestFit="1" customWidth="1"/>
    <col min="16" max="16" width="27.109375" bestFit="1" customWidth="1"/>
    <col min="17" max="17" width="23.109375" customWidth="1"/>
    <col min="18" max="18" width="33.88671875" bestFit="1" customWidth="1"/>
    <col min="20" max="20" width="11.6640625" bestFit="1" customWidth="1"/>
    <col min="21" max="21" width="17.109375" bestFit="1" customWidth="1"/>
    <col min="22" max="22" width="17.21875" bestFit="1" customWidth="1"/>
    <col min="23" max="23" width="20.6640625" bestFit="1" customWidth="1"/>
    <col min="24" max="24" width="19" bestFit="1" customWidth="1"/>
    <col min="25" max="25" width="25.6640625" bestFit="1" customWidth="1"/>
  </cols>
  <sheetData>
    <row r="1" spans="1:25" x14ac:dyDescent="0.3">
      <c r="A1" s="2" t="s">
        <v>24</v>
      </c>
      <c r="J1" s="2" t="s">
        <v>24</v>
      </c>
      <c r="R1" s="2" t="s">
        <v>24</v>
      </c>
    </row>
    <row r="2" spans="1:25" x14ac:dyDescent="0.3">
      <c r="A2" s="14" t="s">
        <v>0</v>
      </c>
      <c r="B2" s="14"/>
      <c r="C2" s="14"/>
      <c r="D2" s="14"/>
      <c r="E2" s="14"/>
      <c r="F2" s="14"/>
      <c r="G2" s="14"/>
      <c r="H2" s="8"/>
      <c r="J2" s="14" t="s">
        <v>6</v>
      </c>
      <c r="K2" s="14"/>
      <c r="L2" s="14"/>
      <c r="M2" s="14"/>
      <c r="N2" s="14"/>
      <c r="O2" s="14"/>
      <c r="P2" s="14"/>
      <c r="R2" s="14" t="s">
        <v>10</v>
      </c>
      <c r="S2" s="14"/>
      <c r="T2" s="14"/>
      <c r="U2" s="14"/>
      <c r="V2" s="14"/>
      <c r="W2" s="14"/>
      <c r="X2" s="14"/>
      <c r="Y2" s="8"/>
    </row>
    <row r="3" spans="1:25" x14ac:dyDescent="0.3">
      <c r="B3" t="s">
        <v>2</v>
      </c>
      <c r="C3" s="3" t="s">
        <v>18</v>
      </c>
      <c r="D3" s="4" t="s">
        <v>19</v>
      </c>
      <c r="E3" s="5" t="s">
        <v>20</v>
      </c>
      <c r="F3" t="s">
        <v>21</v>
      </c>
      <c r="G3" t="s">
        <v>22</v>
      </c>
      <c r="K3" t="s">
        <v>2</v>
      </c>
      <c r="L3" s="3" t="s">
        <v>18</v>
      </c>
      <c r="M3" s="4" t="s">
        <v>19</v>
      </c>
      <c r="N3" s="5" t="s">
        <v>20</v>
      </c>
      <c r="O3" t="s">
        <v>21</v>
      </c>
      <c r="P3" t="s">
        <v>22</v>
      </c>
      <c r="S3" t="s">
        <v>2</v>
      </c>
      <c r="T3" s="3" t="s">
        <v>18</v>
      </c>
      <c r="U3" s="4" t="s">
        <v>19</v>
      </c>
      <c r="V3" s="5" t="s">
        <v>20</v>
      </c>
      <c r="W3" t="s">
        <v>21</v>
      </c>
      <c r="X3" t="s">
        <v>22</v>
      </c>
    </row>
    <row r="4" spans="1:25" x14ac:dyDescent="0.3">
      <c r="A4" s="1" t="s">
        <v>1</v>
      </c>
      <c r="B4">
        <v>528.54999999999995</v>
      </c>
      <c r="C4">
        <v>620.66999999999996</v>
      </c>
      <c r="D4">
        <v>873.93</v>
      </c>
      <c r="E4">
        <v>612.85</v>
      </c>
      <c r="F4">
        <v>868.2</v>
      </c>
      <c r="G4">
        <f>F4/B4</f>
        <v>1.642607132721597</v>
      </c>
      <c r="J4" t="s">
        <v>7</v>
      </c>
      <c r="K4">
        <v>62</v>
      </c>
      <c r="L4">
        <v>60.2</v>
      </c>
      <c r="M4">
        <v>56.4</v>
      </c>
      <c r="N4">
        <v>63.1</v>
      </c>
      <c r="O4">
        <v>59.2</v>
      </c>
      <c r="P4">
        <f>O4/K4</f>
        <v>0.95483870967741935</v>
      </c>
      <c r="R4" t="s">
        <v>11</v>
      </c>
      <c r="S4">
        <v>-75.599999999999994</v>
      </c>
      <c r="T4">
        <v>-75.599999999999994</v>
      </c>
      <c r="U4">
        <v>-75.599999999999994</v>
      </c>
      <c r="V4">
        <v>-75.59</v>
      </c>
      <c r="W4">
        <v>-75.59</v>
      </c>
      <c r="X4">
        <f>W4/S4</f>
        <v>0.99986772486772502</v>
      </c>
    </row>
    <row r="5" spans="1:25" x14ac:dyDescent="0.3">
      <c r="A5" s="1" t="s">
        <v>3</v>
      </c>
      <c r="B5">
        <v>68.42</v>
      </c>
      <c r="C5">
        <v>65.09</v>
      </c>
      <c r="D5">
        <v>65.05</v>
      </c>
      <c r="E5">
        <v>65.12</v>
      </c>
      <c r="F5">
        <v>65.09</v>
      </c>
      <c r="G5">
        <f t="shared" ref="G5:G7" si="0">F5/B5</f>
        <v>0.95133002046185333</v>
      </c>
      <c r="J5" t="s">
        <v>8</v>
      </c>
      <c r="K5">
        <v>30.9</v>
      </c>
      <c r="L5">
        <v>32.700000000000003</v>
      </c>
      <c r="M5">
        <v>36.6</v>
      </c>
      <c r="N5">
        <v>29.5</v>
      </c>
      <c r="O5">
        <v>33.6</v>
      </c>
      <c r="P5">
        <f t="shared" ref="P5:P6" si="1">O5/K5</f>
        <v>1.0873786407766992</v>
      </c>
      <c r="R5" t="s">
        <v>12</v>
      </c>
      <c r="S5">
        <v>108.87</v>
      </c>
      <c r="T5">
        <v>110.63</v>
      </c>
      <c r="U5">
        <v>108.21</v>
      </c>
      <c r="V5">
        <v>111.68</v>
      </c>
      <c r="W5">
        <v>109.71</v>
      </c>
      <c r="X5">
        <f>W5/S5</f>
        <v>1.0077156241388812</v>
      </c>
    </row>
    <row r="6" spans="1:25" x14ac:dyDescent="0.3">
      <c r="A6" s="1" t="s">
        <v>4</v>
      </c>
      <c r="B6">
        <v>200.47</v>
      </c>
      <c r="C6">
        <v>208</v>
      </c>
      <c r="D6">
        <v>199.39</v>
      </c>
      <c r="E6">
        <v>207.57</v>
      </c>
      <c r="F6">
        <v>205.51</v>
      </c>
      <c r="G6">
        <f t="shared" si="0"/>
        <v>1.0251409188407243</v>
      </c>
      <c r="J6" t="s">
        <v>9</v>
      </c>
      <c r="K6">
        <v>7.1</v>
      </c>
      <c r="L6">
        <v>7.1</v>
      </c>
      <c r="M6">
        <v>7</v>
      </c>
      <c r="N6">
        <v>7.3</v>
      </c>
      <c r="O6">
        <v>7.2</v>
      </c>
      <c r="P6">
        <f t="shared" si="1"/>
        <v>1.0140845070422535</v>
      </c>
      <c r="R6" t="s">
        <v>13</v>
      </c>
      <c r="S6">
        <v>34.28</v>
      </c>
      <c r="T6">
        <v>35.03</v>
      </c>
      <c r="U6">
        <v>32.61</v>
      </c>
      <c r="V6">
        <v>36.090000000000003</v>
      </c>
      <c r="W6">
        <v>34.119999999999997</v>
      </c>
      <c r="X6">
        <f>W6/S6</f>
        <v>0.99533255542590426</v>
      </c>
    </row>
    <row r="7" spans="1:25" x14ac:dyDescent="0.3">
      <c r="A7" s="1" t="s">
        <v>5</v>
      </c>
      <c r="B7">
        <v>265.83999999999997</v>
      </c>
      <c r="C7">
        <v>271.16000000000003</v>
      </c>
      <c r="D7">
        <v>275.04000000000002</v>
      </c>
      <c r="E7">
        <v>319.89999999999998</v>
      </c>
      <c r="F7">
        <v>318.17</v>
      </c>
      <c r="G7">
        <f t="shared" si="0"/>
        <v>1.1968477279566658</v>
      </c>
      <c r="R7" t="s">
        <v>14</v>
      </c>
      <c r="S7">
        <v>33.299999999999997</v>
      </c>
      <c r="T7">
        <v>18.04</v>
      </c>
      <c r="U7">
        <v>17.940000000000001</v>
      </c>
      <c r="V7">
        <v>18</v>
      </c>
      <c r="W7">
        <v>18.02</v>
      </c>
      <c r="X7">
        <f>W7/S7</f>
        <v>0.5411411411411412</v>
      </c>
    </row>
    <row r="8" spans="1:25" x14ac:dyDescent="0.3">
      <c r="R8" t="s">
        <v>15</v>
      </c>
      <c r="S8">
        <v>300.39999999999998</v>
      </c>
      <c r="T8">
        <v>312.24</v>
      </c>
      <c r="U8">
        <v>329.76</v>
      </c>
      <c r="V8">
        <v>363.25</v>
      </c>
      <c r="W8">
        <v>381.41</v>
      </c>
      <c r="X8">
        <f>W8/S8</f>
        <v>1.2696737683089216</v>
      </c>
    </row>
    <row r="9" spans="1:25" x14ac:dyDescent="0.3">
      <c r="R9" t="s">
        <v>17</v>
      </c>
      <c r="S9">
        <v>413.29</v>
      </c>
      <c r="T9">
        <v>424.25</v>
      </c>
      <c r="U9">
        <v>434.97</v>
      </c>
      <c r="V9">
        <v>546.41999999999996</v>
      </c>
      <c r="W9">
        <v>554.05999999999995</v>
      </c>
      <c r="X9">
        <f t="shared" ref="X9" si="2">W9/S9</f>
        <v>1.3406082895787459</v>
      </c>
    </row>
    <row r="12" spans="1:25" x14ac:dyDescent="0.3">
      <c r="A12" s="2" t="s">
        <v>23</v>
      </c>
      <c r="J12" s="2" t="s">
        <v>23</v>
      </c>
      <c r="R12" s="2" t="s">
        <v>23</v>
      </c>
    </row>
    <row r="13" spans="1:25" x14ac:dyDescent="0.3">
      <c r="A13" s="14" t="s">
        <v>0</v>
      </c>
      <c r="B13" s="14"/>
      <c r="C13" s="14"/>
      <c r="D13" s="14"/>
      <c r="E13" s="14"/>
      <c r="F13" s="14"/>
      <c r="G13" s="14"/>
      <c r="H13" s="8"/>
      <c r="J13" s="14" t="s">
        <v>6</v>
      </c>
      <c r="K13" s="14"/>
      <c r="L13" s="14"/>
      <c r="M13" s="14"/>
      <c r="N13" s="14"/>
      <c r="O13" s="14"/>
      <c r="P13" s="14"/>
      <c r="R13" s="14" t="s">
        <v>10</v>
      </c>
      <c r="S13" s="14"/>
      <c r="T13" s="14"/>
      <c r="U13" s="14"/>
      <c r="V13" s="14"/>
      <c r="W13" s="14"/>
      <c r="X13" s="14"/>
      <c r="Y13" s="8"/>
    </row>
    <row r="14" spans="1:25" x14ac:dyDescent="0.3">
      <c r="B14" t="s">
        <v>2</v>
      </c>
      <c r="C14" s="3" t="s">
        <v>18</v>
      </c>
      <c r="D14" s="4" t="s">
        <v>19</v>
      </c>
      <c r="E14" s="5" t="s">
        <v>20</v>
      </c>
      <c r="F14" t="s">
        <v>21</v>
      </c>
      <c r="G14" t="s">
        <v>22</v>
      </c>
      <c r="K14" t="s">
        <v>2</v>
      </c>
      <c r="L14" s="3" t="s">
        <v>18</v>
      </c>
      <c r="M14" s="4" t="s">
        <v>19</v>
      </c>
      <c r="N14" s="5" t="s">
        <v>20</v>
      </c>
      <c r="O14" t="s">
        <v>21</v>
      </c>
      <c r="P14" t="s">
        <v>22</v>
      </c>
      <c r="S14" t="s">
        <v>2</v>
      </c>
      <c r="T14" s="3" t="s">
        <v>18</v>
      </c>
      <c r="U14" s="4" t="s">
        <v>19</v>
      </c>
      <c r="V14" s="5" t="s">
        <v>20</v>
      </c>
      <c r="W14" t="s">
        <v>21</v>
      </c>
      <c r="X14" t="s">
        <v>22</v>
      </c>
    </row>
    <row r="15" spans="1:25" x14ac:dyDescent="0.3">
      <c r="A15" s="1" t="s">
        <v>1</v>
      </c>
      <c r="B15" s="6">
        <v>528.54999999999995</v>
      </c>
      <c r="C15" s="6">
        <v>620.66999999999996</v>
      </c>
      <c r="D15" s="6">
        <v>873.93</v>
      </c>
      <c r="E15" s="6">
        <v>619.88</v>
      </c>
      <c r="F15" s="6">
        <v>873.31</v>
      </c>
      <c r="G15" s="7">
        <f>F15/B15</f>
        <v>1.652275092233469</v>
      </c>
      <c r="H15" s="7"/>
      <c r="J15" t="s">
        <v>7</v>
      </c>
      <c r="K15" s="6">
        <v>62</v>
      </c>
      <c r="L15" s="6">
        <v>60.2</v>
      </c>
      <c r="M15" s="6">
        <v>56.4</v>
      </c>
      <c r="N15" s="6">
        <v>60.4</v>
      </c>
      <c r="O15" s="6">
        <v>56.6</v>
      </c>
      <c r="P15" s="6">
        <f>O15/K15</f>
        <v>0.91290322580645167</v>
      </c>
      <c r="R15" t="s">
        <v>11</v>
      </c>
      <c r="S15" s="6">
        <v>-75.599999999999994</v>
      </c>
      <c r="T15" s="6">
        <v>-75.599999999999994</v>
      </c>
      <c r="U15" s="6">
        <v>-75.599999999999994</v>
      </c>
      <c r="V15" s="6">
        <v>-75.599999999999994</v>
      </c>
      <c r="W15" s="6">
        <v>-75.599999999999994</v>
      </c>
      <c r="X15" s="6">
        <f>W15/S15</f>
        <v>1</v>
      </c>
      <c r="Y15" s="6"/>
    </row>
    <row r="16" spans="1:25" x14ac:dyDescent="0.3">
      <c r="A16" s="1" t="s">
        <v>3</v>
      </c>
      <c r="B16" s="6">
        <v>68.42</v>
      </c>
      <c r="C16" s="6">
        <v>65.09</v>
      </c>
      <c r="D16" s="6">
        <v>65.05</v>
      </c>
      <c r="E16" s="6">
        <v>65.09</v>
      </c>
      <c r="F16" s="6">
        <v>65.06</v>
      </c>
      <c r="G16" s="7">
        <f t="shared" ref="G16:G18" si="3">F16/B16</f>
        <v>0.95089155217772581</v>
      </c>
      <c r="H16" s="7"/>
      <c r="J16" t="s">
        <v>8</v>
      </c>
      <c r="K16" s="6">
        <v>30.9</v>
      </c>
      <c r="L16" s="6">
        <v>32.700000000000003</v>
      </c>
      <c r="M16" s="6">
        <v>36.6</v>
      </c>
      <c r="N16" s="6">
        <v>32.5</v>
      </c>
      <c r="O16" s="6">
        <v>36.4</v>
      </c>
      <c r="P16" s="6">
        <f t="shared" ref="P16:P17" si="4">O16/K16</f>
        <v>1.1779935275080906</v>
      </c>
      <c r="R16" t="s">
        <v>12</v>
      </c>
      <c r="S16" s="6">
        <v>109.87</v>
      </c>
      <c r="T16" s="6">
        <v>110.63</v>
      </c>
      <c r="U16" s="6">
        <v>108.21</v>
      </c>
      <c r="V16" s="6">
        <v>110.71</v>
      </c>
      <c r="W16" s="6">
        <v>108.33</v>
      </c>
      <c r="X16" s="6">
        <f t="shared" ref="X16:X24" si="5">W16/S16</f>
        <v>0.98598343496859919</v>
      </c>
      <c r="Y16" s="6"/>
    </row>
    <row r="17" spans="1:25" x14ac:dyDescent="0.3">
      <c r="A17" s="1" t="s">
        <v>4</v>
      </c>
      <c r="B17" s="6">
        <v>200.47</v>
      </c>
      <c r="C17" s="6">
        <v>208</v>
      </c>
      <c r="D17" s="6">
        <v>199.39</v>
      </c>
      <c r="E17" s="6">
        <v>208.39</v>
      </c>
      <c r="F17" s="6">
        <v>199.87</v>
      </c>
      <c r="G17" s="7">
        <f t="shared" si="3"/>
        <v>0.99700703347134234</v>
      </c>
      <c r="H17" s="7"/>
      <c r="J17" t="s">
        <v>9</v>
      </c>
      <c r="K17" s="6">
        <v>7.1</v>
      </c>
      <c r="L17" s="6">
        <v>7.1</v>
      </c>
      <c r="M17" s="6">
        <v>7</v>
      </c>
      <c r="N17" s="6">
        <v>7.1</v>
      </c>
      <c r="O17" s="6">
        <v>7</v>
      </c>
      <c r="P17" s="6">
        <f t="shared" si="4"/>
        <v>0.9859154929577465</v>
      </c>
      <c r="R17" t="s">
        <v>13</v>
      </c>
      <c r="S17" s="6">
        <v>34.28</v>
      </c>
      <c r="T17" s="6">
        <v>35.03</v>
      </c>
      <c r="U17" s="6">
        <v>32.61</v>
      </c>
      <c r="V17" s="6">
        <v>35.119999999999997</v>
      </c>
      <c r="W17" s="6">
        <v>32.729999999999997</v>
      </c>
      <c r="X17" s="6">
        <f t="shared" si="5"/>
        <v>0.95478413068844792</v>
      </c>
      <c r="Y17" s="6"/>
    </row>
    <row r="18" spans="1:25" x14ac:dyDescent="0.3">
      <c r="A18" s="1" t="s">
        <v>5</v>
      </c>
      <c r="B18" s="6">
        <v>265.83999999999997</v>
      </c>
      <c r="C18" s="6">
        <v>271.16000000000003</v>
      </c>
      <c r="D18" s="6">
        <v>275.04000000000002</v>
      </c>
      <c r="E18" s="6">
        <v>273.64</v>
      </c>
      <c r="F18" s="6">
        <v>278.51</v>
      </c>
      <c r="G18" s="7">
        <f t="shared" si="3"/>
        <v>1.0476602467649714</v>
      </c>
      <c r="H18" s="7"/>
      <c r="R18" t="s">
        <v>14</v>
      </c>
      <c r="S18" s="6">
        <v>33.299999999999997</v>
      </c>
      <c r="T18" s="6">
        <v>18.04</v>
      </c>
      <c r="U18" s="6">
        <v>17.940000000000001</v>
      </c>
      <c r="V18" s="6">
        <v>18.010000000000002</v>
      </c>
      <c r="W18" s="6">
        <v>17.97</v>
      </c>
      <c r="X18" s="6">
        <f t="shared" si="5"/>
        <v>0.53963963963963968</v>
      </c>
      <c r="Y18" s="6"/>
    </row>
    <row r="19" spans="1:25" x14ac:dyDescent="0.3">
      <c r="R19" t="s">
        <v>15</v>
      </c>
      <c r="S19" s="6">
        <v>300.39999999999998</v>
      </c>
      <c r="T19" s="6">
        <v>312.24</v>
      </c>
      <c r="U19" s="6">
        <v>329.76</v>
      </c>
      <c r="V19" s="6">
        <v>315.77</v>
      </c>
      <c r="W19" s="6">
        <v>333.56</v>
      </c>
      <c r="X19" s="6">
        <f t="shared" si="5"/>
        <v>1.1103861517976032</v>
      </c>
      <c r="Y19" s="6"/>
    </row>
    <row r="20" spans="1:25" x14ac:dyDescent="0.3">
      <c r="S20" s="6"/>
      <c r="T20" s="6"/>
      <c r="U20" s="6"/>
      <c r="V20" s="6"/>
      <c r="W20" s="6"/>
      <c r="X20" s="6"/>
      <c r="Y20" s="6"/>
    </row>
    <row r="21" spans="1:25" x14ac:dyDescent="0.3">
      <c r="S21" s="6"/>
      <c r="T21" s="6"/>
      <c r="U21" s="6"/>
      <c r="V21" s="6"/>
      <c r="W21" s="6"/>
      <c r="X21" s="6"/>
      <c r="Y21" s="6"/>
    </row>
    <row r="22" spans="1:25" x14ac:dyDescent="0.3">
      <c r="S22" s="6"/>
      <c r="T22" s="6"/>
      <c r="U22" s="6"/>
      <c r="V22" s="6"/>
      <c r="W22" s="6"/>
      <c r="X22" s="6"/>
      <c r="Y22" s="6"/>
    </row>
    <row r="23" spans="1:25" x14ac:dyDescent="0.3">
      <c r="R23" t="s">
        <v>16</v>
      </c>
      <c r="S23" s="6">
        <v>356.92</v>
      </c>
      <c r="T23" s="6">
        <v>369.61</v>
      </c>
      <c r="U23" s="6">
        <v>381.52</v>
      </c>
      <c r="V23" s="6">
        <v>374.54</v>
      </c>
      <c r="W23" s="6">
        <v>386.63</v>
      </c>
      <c r="X23" s="6">
        <f t="shared" si="5"/>
        <v>1.0832399417236356</v>
      </c>
      <c r="Y23" s="6"/>
    </row>
    <row r="24" spans="1:25" x14ac:dyDescent="0.3">
      <c r="R24" t="s">
        <v>17</v>
      </c>
      <c r="S24" s="6">
        <v>413.29</v>
      </c>
      <c r="T24" s="6">
        <v>424.25</v>
      </c>
      <c r="U24" s="6">
        <v>434.97</v>
      </c>
      <c r="V24" s="6">
        <v>430.97</v>
      </c>
      <c r="W24" s="6">
        <v>441.82</v>
      </c>
      <c r="X24" s="6">
        <f t="shared" si="5"/>
        <v>1.0690314307145103</v>
      </c>
      <c r="Y24" s="6"/>
    </row>
    <row r="25" spans="1:25" x14ac:dyDescent="0.3">
      <c r="S25" s="6"/>
      <c r="T25" s="6"/>
      <c r="U25" s="6"/>
      <c r="V25" s="6"/>
      <c r="W25" s="6"/>
      <c r="X25" s="6"/>
      <c r="Y25" s="6"/>
    </row>
    <row r="27" spans="1:25" x14ac:dyDescent="0.3">
      <c r="A27" s="15" t="s">
        <v>25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9"/>
    </row>
    <row r="28" spans="1:25" x14ac:dyDescent="0.3">
      <c r="A28" s="16" t="s">
        <v>27</v>
      </c>
      <c r="B28" s="1"/>
      <c r="C28" s="1"/>
      <c r="D28" s="1"/>
      <c r="E28" s="1"/>
      <c r="F28" s="1"/>
      <c r="G28" s="14" t="s">
        <v>36</v>
      </c>
      <c r="H28" s="14"/>
      <c r="J28" s="16" t="s">
        <v>28</v>
      </c>
      <c r="K28" s="1"/>
      <c r="L28" s="1"/>
      <c r="M28" s="1"/>
      <c r="N28" s="1"/>
      <c r="O28" s="1"/>
      <c r="P28" s="1"/>
      <c r="R28" s="16" t="s">
        <v>26</v>
      </c>
      <c r="S28" s="1"/>
      <c r="T28" s="1"/>
      <c r="U28" s="1"/>
      <c r="V28" s="1"/>
      <c r="W28" s="1"/>
      <c r="X28" s="14" t="s">
        <v>36</v>
      </c>
      <c r="Y28" s="14"/>
    </row>
    <row r="29" spans="1:25" s="10" customFormat="1" x14ac:dyDescent="0.3">
      <c r="B29" s="10" t="s">
        <v>2</v>
      </c>
      <c r="C29" s="11" t="s">
        <v>18</v>
      </c>
      <c r="D29" s="12" t="s">
        <v>19</v>
      </c>
      <c r="E29" s="13" t="s">
        <v>20</v>
      </c>
      <c r="F29" s="10" t="s">
        <v>21</v>
      </c>
      <c r="G29" s="10" t="s">
        <v>39</v>
      </c>
      <c r="H29" s="10" t="s">
        <v>37</v>
      </c>
      <c r="K29" s="10" t="s">
        <v>2</v>
      </c>
      <c r="L29" s="11" t="s">
        <v>18</v>
      </c>
      <c r="M29" s="12" t="s">
        <v>19</v>
      </c>
      <c r="N29" s="13" t="s">
        <v>20</v>
      </c>
      <c r="O29" s="10" t="s">
        <v>21</v>
      </c>
      <c r="P29" s="10" t="s">
        <v>40</v>
      </c>
      <c r="S29" s="10" t="s">
        <v>2</v>
      </c>
      <c r="T29" s="11" t="s">
        <v>18</v>
      </c>
      <c r="U29" s="12" t="s">
        <v>19</v>
      </c>
      <c r="V29" s="13" t="s">
        <v>20</v>
      </c>
      <c r="W29" s="10" t="s">
        <v>21</v>
      </c>
      <c r="X29" s="10" t="s">
        <v>39</v>
      </c>
      <c r="Y29" s="10" t="s">
        <v>37</v>
      </c>
    </row>
    <row r="30" spans="1:25" x14ac:dyDescent="0.3">
      <c r="A30" s="1" t="s">
        <v>1</v>
      </c>
      <c r="B30" s="6">
        <v>603.99</v>
      </c>
      <c r="C30" s="6">
        <v>588.83000000000004</v>
      </c>
      <c r="D30" s="6">
        <v>585.84</v>
      </c>
      <c r="E30" s="6">
        <v>602.01</v>
      </c>
      <c r="F30" s="6">
        <v>598.97</v>
      </c>
      <c r="G30" s="7">
        <f>F30/B30</f>
        <v>0.99168860411596227</v>
      </c>
      <c r="H30" s="7"/>
      <c r="J30" t="s">
        <v>7</v>
      </c>
      <c r="K30" s="6">
        <v>58.6</v>
      </c>
      <c r="L30" s="6">
        <v>62.6</v>
      </c>
      <c r="M30" s="6">
        <v>62.7</v>
      </c>
      <c r="N30" s="6">
        <v>63.8</v>
      </c>
      <c r="O30" s="6">
        <v>63.9</v>
      </c>
      <c r="P30" s="7">
        <f>O30/K30</f>
        <v>1.0904436860068258</v>
      </c>
      <c r="R30" t="s">
        <v>11</v>
      </c>
      <c r="S30" s="6">
        <v>-75.739999999999995</v>
      </c>
      <c r="T30" s="6">
        <v>-75.73</v>
      </c>
      <c r="U30" s="6">
        <v>-75.73</v>
      </c>
      <c r="V30" s="6">
        <v>-75.73</v>
      </c>
      <c r="W30" s="6">
        <v>-75.73</v>
      </c>
      <c r="X30" s="7">
        <f>W30/S30</f>
        <v>0.99986796936889366</v>
      </c>
      <c r="Y30" s="7">
        <v>0.93</v>
      </c>
    </row>
    <row r="31" spans="1:25" x14ac:dyDescent="0.3">
      <c r="A31" s="1" t="s">
        <v>3</v>
      </c>
      <c r="B31" s="6">
        <v>53.51</v>
      </c>
      <c r="C31" s="6">
        <v>53.6</v>
      </c>
      <c r="D31" s="6">
        <v>53.63</v>
      </c>
      <c r="E31" s="6">
        <v>54</v>
      </c>
      <c r="F31" s="6">
        <v>54</v>
      </c>
      <c r="G31" s="7">
        <f t="shared" ref="G31:G33" si="6">F31/B31</f>
        <v>1.0091571668846946</v>
      </c>
      <c r="H31" s="7"/>
      <c r="J31" t="s">
        <v>8</v>
      </c>
      <c r="K31" s="6">
        <v>34.1</v>
      </c>
      <c r="L31" s="6">
        <v>29.8</v>
      </c>
      <c r="M31" s="6">
        <v>29.7</v>
      </c>
      <c r="N31" s="6">
        <v>28.7</v>
      </c>
      <c r="O31" s="6">
        <v>28.6</v>
      </c>
      <c r="P31" s="7">
        <f t="shared" ref="P31:P32" si="7">O31/K31</f>
        <v>0.83870967741935487</v>
      </c>
      <c r="R31" t="s">
        <v>12</v>
      </c>
      <c r="S31" s="6">
        <v>113.03</v>
      </c>
      <c r="T31" s="6">
        <v>114.09</v>
      </c>
      <c r="U31" s="6">
        <v>114.13</v>
      </c>
      <c r="V31" s="6">
        <v>114.25</v>
      </c>
      <c r="W31" s="6">
        <v>114.29</v>
      </c>
      <c r="X31" s="7">
        <f t="shared" ref="X31:X36" si="8">W31/S31</f>
        <v>1.0111474829691234</v>
      </c>
      <c r="Y31" s="7">
        <v>1.04</v>
      </c>
    </row>
    <row r="32" spans="1:25" x14ac:dyDescent="0.3">
      <c r="A32" s="1" t="s">
        <v>4</v>
      </c>
      <c r="B32" s="6">
        <v>228.19</v>
      </c>
      <c r="C32" s="6">
        <v>226.15</v>
      </c>
      <c r="D32" s="6">
        <v>226.3</v>
      </c>
      <c r="E32" s="6">
        <v>242.1</v>
      </c>
      <c r="F32" s="6">
        <v>242.3</v>
      </c>
      <c r="G32" s="7">
        <f t="shared" si="6"/>
        <v>1.0618344362154346</v>
      </c>
      <c r="H32" s="7"/>
      <c r="J32" t="s">
        <v>9</v>
      </c>
      <c r="K32" s="6">
        <v>7.4</v>
      </c>
      <c r="L32" s="6">
        <v>7.6</v>
      </c>
      <c r="M32" s="6">
        <v>7.6</v>
      </c>
      <c r="N32" s="6">
        <v>7.6</v>
      </c>
      <c r="O32" s="6">
        <v>7.6</v>
      </c>
      <c r="P32" s="7">
        <f t="shared" si="7"/>
        <v>1.027027027027027</v>
      </c>
      <c r="R32" t="s">
        <v>13</v>
      </c>
      <c r="S32" s="6">
        <v>37.29</v>
      </c>
      <c r="T32" s="6">
        <v>38.36</v>
      </c>
      <c r="U32" s="6">
        <v>38.409999999999997</v>
      </c>
      <c r="V32" s="6">
        <v>38.520000000000003</v>
      </c>
      <c r="W32" s="6">
        <v>38.56</v>
      </c>
      <c r="X32" s="7">
        <f t="shared" si="8"/>
        <v>1.0340573880396891</v>
      </c>
      <c r="Y32" s="7">
        <v>1.17</v>
      </c>
    </row>
    <row r="33" spans="1:25" x14ac:dyDescent="0.3">
      <c r="A33" s="1" t="s">
        <v>5</v>
      </c>
      <c r="B33" s="6">
        <v>282.20999999999998</v>
      </c>
      <c r="C33" s="6">
        <v>351.65</v>
      </c>
      <c r="D33" s="6">
        <v>352.6</v>
      </c>
      <c r="E33" s="6">
        <v>432.77</v>
      </c>
      <c r="F33" s="6">
        <v>435.2</v>
      </c>
      <c r="G33" s="7">
        <f t="shared" si="6"/>
        <v>1.5421140285602921</v>
      </c>
      <c r="H33" s="7">
        <v>1.0900000000000001</v>
      </c>
      <c r="J33" t="s">
        <v>35</v>
      </c>
      <c r="K33" s="6">
        <f>SUM(K30:K32)</f>
        <v>100.10000000000001</v>
      </c>
      <c r="L33" s="6">
        <f t="shared" ref="L33:O33" si="9">SUM(L30:L32)</f>
        <v>100</v>
      </c>
      <c r="M33" s="6">
        <f t="shared" si="9"/>
        <v>100</v>
      </c>
      <c r="N33" s="6">
        <f t="shared" si="9"/>
        <v>100.1</v>
      </c>
      <c r="O33" s="6">
        <f t="shared" si="9"/>
        <v>100.1</v>
      </c>
      <c r="P33" s="6"/>
      <c r="R33" t="s">
        <v>14</v>
      </c>
      <c r="S33" s="6">
        <v>110.83</v>
      </c>
      <c r="T33" s="6">
        <v>116.6</v>
      </c>
      <c r="U33" s="6">
        <v>118.94</v>
      </c>
      <c r="V33" s="6">
        <v>116.6</v>
      </c>
      <c r="W33" s="6">
        <v>118.94</v>
      </c>
      <c r="X33" s="7">
        <f t="shared" si="8"/>
        <v>1.0731751330867094</v>
      </c>
      <c r="Y33" s="7" t="s">
        <v>38</v>
      </c>
    </row>
    <row r="34" spans="1:25" x14ac:dyDescent="0.3">
      <c r="R34" t="s">
        <v>15</v>
      </c>
      <c r="S34" s="6">
        <v>338.72</v>
      </c>
      <c r="T34" s="6">
        <v>417.73</v>
      </c>
      <c r="U34" s="6">
        <v>417.21</v>
      </c>
      <c r="V34" s="6">
        <v>472.49</v>
      </c>
      <c r="W34" s="6">
        <v>471.87</v>
      </c>
      <c r="X34" s="7">
        <f t="shared" si="8"/>
        <v>1.3930975436939064</v>
      </c>
      <c r="Y34" s="7">
        <v>1.79</v>
      </c>
    </row>
    <row r="35" spans="1:25" x14ac:dyDescent="0.3">
      <c r="R35" t="s">
        <v>16</v>
      </c>
      <c r="S35" s="6">
        <v>403.74</v>
      </c>
      <c r="T35" s="6">
        <v>533.32000000000005</v>
      </c>
      <c r="U35" s="6">
        <v>533.54</v>
      </c>
      <c r="V35" s="6">
        <v>657.48</v>
      </c>
      <c r="W35" s="6">
        <v>658.82</v>
      </c>
      <c r="X35" s="7">
        <f t="shared" si="8"/>
        <v>1.6317927379006292</v>
      </c>
      <c r="Y35" s="7">
        <v>1.9</v>
      </c>
    </row>
    <row r="36" spans="1:25" x14ac:dyDescent="0.3">
      <c r="R36" t="s">
        <v>17</v>
      </c>
      <c r="S36" s="6">
        <v>446.18</v>
      </c>
      <c r="T36" s="6">
        <v>619.84</v>
      </c>
      <c r="U36" s="6">
        <v>623.13</v>
      </c>
      <c r="V36" s="6">
        <v>757.72</v>
      </c>
      <c r="W36" s="6">
        <v>763.44</v>
      </c>
      <c r="X36" s="7">
        <f t="shared" si="8"/>
        <v>1.7110583172710567</v>
      </c>
      <c r="Y36" s="7">
        <v>2.17</v>
      </c>
    </row>
  </sheetData>
  <mergeCells count="9">
    <mergeCell ref="A27:X27"/>
    <mergeCell ref="A2:G2"/>
    <mergeCell ref="A13:G13"/>
    <mergeCell ref="J2:P2"/>
    <mergeCell ref="J13:P13"/>
    <mergeCell ref="R2:X2"/>
    <mergeCell ref="R13:X13"/>
    <mergeCell ref="X28:Y28"/>
    <mergeCell ref="G28:H28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1BD3-3436-4DA2-AD70-74E0E2B4CD59}">
  <dimension ref="A3:D14"/>
  <sheetViews>
    <sheetView workbookViewId="0">
      <selection activeCell="C14" sqref="C14"/>
    </sheetView>
  </sheetViews>
  <sheetFormatPr defaultRowHeight="14.4" x14ac:dyDescent="0.3"/>
  <cols>
    <col min="1" max="1" width="17.88671875" bestFit="1" customWidth="1"/>
    <col min="2" max="2" width="9.6640625" bestFit="1" customWidth="1"/>
    <col min="3" max="3" width="13.33203125" bestFit="1" customWidth="1"/>
  </cols>
  <sheetData>
    <row r="3" spans="1:4" x14ac:dyDescent="0.3">
      <c r="B3" t="s">
        <v>29</v>
      </c>
      <c r="C3" t="s">
        <v>30</v>
      </c>
      <c r="D3" t="s">
        <v>33</v>
      </c>
    </row>
    <row r="4" spans="1:4" x14ac:dyDescent="0.3">
      <c r="A4" t="s">
        <v>31</v>
      </c>
      <c r="B4">
        <v>0.26</v>
      </c>
      <c r="C4">
        <v>0.6</v>
      </c>
      <c r="D4">
        <f>C4/B4</f>
        <v>2.3076923076923075</v>
      </c>
    </row>
    <row r="5" spans="1:4" x14ac:dyDescent="0.3">
      <c r="A5" t="s">
        <v>32</v>
      </c>
      <c r="B5">
        <v>1.26</v>
      </c>
      <c r="C5">
        <v>2.88</v>
      </c>
      <c r="D5">
        <f>C5/B5</f>
        <v>2.2857142857142856</v>
      </c>
    </row>
    <row r="7" spans="1:4" x14ac:dyDescent="0.3">
      <c r="B7" t="s">
        <v>34</v>
      </c>
    </row>
    <row r="8" spans="1:4" x14ac:dyDescent="0.3">
      <c r="A8" t="s">
        <v>31</v>
      </c>
      <c r="B8">
        <f>B4/100</f>
        <v>2.5999999999999999E-3</v>
      </c>
    </row>
    <row r="9" spans="1:4" x14ac:dyDescent="0.3">
      <c r="A9" t="s">
        <v>32</v>
      </c>
      <c r="B9">
        <f>B5/100</f>
        <v>1.26E-2</v>
      </c>
    </row>
    <row r="14" spans="1:4" x14ac:dyDescent="0.3">
      <c r="C14">
        <f>13.21138227/0.99447717</f>
        <v>13.284751695204827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Trung</dc:creator>
  <cp:lastModifiedBy>Huynh, Trung</cp:lastModifiedBy>
  <dcterms:created xsi:type="dcterms:W3CDTF">2025-09-23T21:55:00Z</dcterms:created>
  <dcterms:modified xsi:type="dcterms:W3CDTF">2025-12-02T22:43:08Z</dcterms:modified>
</cp:coreProperties>
</file>